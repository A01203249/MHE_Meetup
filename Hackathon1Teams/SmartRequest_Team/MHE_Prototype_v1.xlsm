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192" windowWidth="12288" windowHeight="5868" tabRatio="719"/>
  </bookViews>
  <sheets>
    <sheet name="Step 1" sheetId="11" r:id="rId1"/>
    <sheet name="Step 2" sheetId="4" r:id="rId2"/>
    <sheet name="Step 3" sheetId="10" r:id="rId3"/>
    <sheet name="Step 4" sheetId="12" r:id="rId4"/>
    <sheet name="Step 5" sheetId="14" r:id="rId5"/>
    <sheet name="Step 6" sheetId="15" r:id="rId6"/>
    <sheet name="Step 7" sheetId="17" r:id="rId7"/>
    <sheet name="Lookups" sheetId="16" r:id="rId8"/>
  </sheets>
  <functionGroups builtInGroupCount="17"/>
  <definedNames>
    <definedName name="avg_donations">Lookups!$C$2</definedName>
    <definedName name="exp_donors">Lookups!$C$3</definedName>
    <definedName name="req_amount">'Step 4'!$F$13</definedName>
    <definedName name="step6_success">'Step 6'!$G$10</definedName>
    <definedName name="story_challenge">'Step 6'!$E$15</definedName>
    <definedName name="story_students">'Step 6'!$E$20</definedName>
  </definedNames>
  <calcPr calcId="145621"/>
</workbook>
</file>

<file path=xl/calcChain.xml><?xml version="1.0" encoding="utf-8"?>
<calcChain xmlns="http://schemas.openxmlformats.org/spreadsheetml/2006/main">
  <c r="E7" i="16" l="1"/>
  <c r="E8" i="16"/>
  <c r="E9" i="16"/>
  <c r="E10" i="16"/>
  <c r="E11" i="16"/>
  <c r="E12" i="16"/>
  <c r="E13" i="16"/>
  <c r="E14" i="16"/>
  <c r="E15" i="16"/>
  <c r="E16" i="16"/>
  <c r="E17" i="16"/>
  <c r="D7" i="16"/>
  <c r="D8" i="16"/>
  <c r="D9" i="16"/>
  <c r="D10" i="16"/>
  <c r="D11" i="16"/>
  <c r="D12" i="16"/>
  <c r="D13" i="16"/>
  <c r="D14" i="16"/>
  <c r="D15" i="16"/>
  <c r="D16" i="16"/>
  <c r="D17" i="16"/>
  <c r="H16" i="12"/>
  <c r="H15" i="12"/>
  <c r="H10" i="14"/>
  <c r="H7" i="16" l="1"/>
  <c r="H15" i="16"/>
  <c r="H11" i="16"/>
  <c r="H17" i="16"/>
  <c r="H9" i="16"/>
  <c r="H8" i="16"/>
  <c r="H14" i="16"/>
  <c r="H10" i="16"/>
  <c r="H13" i="16"/>
  <c r="G17" i="15"/>
  <c r="H16" i="16"/>
  <c r="H12" i="16"/>
  <c r="G22" i="15"/>
  <c r="G10" i="15" l="1"/>
  <c r="H10" i="15" l="1"/>
  <c r="G10" i="17"/>
  <c r="H10" i="17" s="1"/>
</calcChain>
</file>

<file path=xl/sharedStrings.xml><?xml version="1.0" encoding="utf-8"?>
<sst xmlns="http://schemas.openxmlformats.org/spreadsheetml/2006/main" count="120" uniqueCount="47">
  <si>
    <t>Welcome</t>
  </si>
  <si>
    <t>Choose Project Type</t>
  </si>
  <si>
    <t>Create Title</t>
  </si>
  <si>
    <t>Go Shopping</t>
  </si>
  <si>
    <t>Summarize Cart</t>
  </si>
  <si>
    <t>Tell Your Story</t>
  </si>
  <si>
    <t>Provide Project Details</t>
  </si>
  <si>
    <t>Quantify Impact</t>
  </si>
  <si>
    <t>Confirm and Submit</t>
  </si>
  <si>
    <t>Success Probability:</t>
  </si>
  <si>
    <t>Select Expiration 
Date</t>
  </si>
  <si>
    <t xml:space="preserve">Title: </t>
  </si>
  <si>
    <t>Amount:</t>
  </si>
  <si>
    <t>Why?</t>
  </si>
  <si>
    <t>Open with the challenge facing your students.</t>
  </si>
  <si>
    <t>Opening Examples:</t>
  </si>
  <si>
    <t>Show Examples</t>
  </si>
  <si>
    <t>Expected Donors:</t>
  </si>
  <si>
    <t>Needed Donors:</t>
  </si>
  <si>
    <t>Avg Donations</t>
  </si>
  <si>
    <t>Exp Donors</t>
  </si>
  <si>
    <t>(Based on all Class Trip projects in the last year)</t>
  </si>
  <si>
    <t>(Based on average Class Trip donations in the last year)</t>
  </si>
  <si>
    <t>Keywords</t>
  </si>
  <si>
    <t>zoo</t>
  </si>
  <si>
    <t>wildlife</t>
  </si>
  <si>
    <t>interact, explore, learn</t>
  </si>
  <si>
    <t>Suggested themes:</t>
  </si>
  <si>
    <t>Keyword</t>
  </si>
  <si>
    <t>Suggest</t>
  </si>
  <si>
    <t>story_challenge</t>
  </si>
  <si>
    <t>Tell us more about your students.</t>
  </si>
  <si>
    <t>story_students</t>
  </si>
  <si>
    <t>opportunity, experiences</t>
  </si>
  <si>
    <t>animals</t>
  </si>
  <si>
    <t>experience</t>
  </si>
  <si>
    <t>interact</t>
  </si>
  <si>
    <t>explore</t>
  </si>
  <si>
    <t>learn</t>
  </si>
  <si>
    <t>opportunity</t>
  </si>
  <si>
    <t>IsRec</t>
  </si>
  <si>
    <t>story_project</t>
  </si>
  <si>
    <t>Score</t>
  </si>
  <si>
    <t>opportunities</t>
  </si>
  <si>
    <t>animals, nature</t>
  </si>
  <si>
    <t>nature</t>
  </si>
  <si>
    <t>underprivileged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</si>
</sst>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0" formatCode="0."/>
    <numFmt numFmtId="171" formatCode="&quot;$&quot;#,##0"/>
  </numFmts>
  <fonts count="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.5"/>
      <color theme="1"/>
      <name val="Calibri"/>
      <family val="2"/>
      <scheme val="minor"/>
    </font>
    <font>
      <sz val="11.5"/>
      <color theme="1" tint="0.499984740745262"/>
      <name val="Playbill"/>
      <family val="5"/>
    </font>
    <font>
      <b/>
      <sz val="14"/>
      <color rgb="FFFF0000"/>
      <name val="Calibri"/>
      <family val="2"/>
      <scheme val="minor"/>
    </font>
    <font>
      <b/>
      <u/>
      <sz val="11"/>
      <color theme="3" tint="0.3999755851924192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385A"/>
        <bgColor indexed="64"/>
      </patternFill>
    </fill>
    <fill>
      <patternFill patternType="solid">
        <fgColor rgb="FFFF8600"/>
        <bgColor indexed="64"/>
      </patternFill>
    </fill>
    <fill>
      <patternFill patternType="solid">
        <fgColor theme="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8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>
      <alignment vertical="top"/>
    </xf>
    <xf numFmtId="170" fontId="1" fillId="2" borderId="0" xfId="0" applyNumberFormat="1" applyFont="1" applyFill="1" applyAlignment="1">
      <alignment vertical="top"/>
    </xf>
    <xf numFmtId="0" fontId="1" fillId="2" borderId="0" xfId="0" applyFont="1" applyFill="1" applyAlignment="1">
      <alignment vertical="top" wrapText="1"/>
    </xf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2" fillId="0" borderId="0" xfId="0" applyFont="1"/>
    <xf numFmtId="0" fontId="0" fillId="3" borderId="0" xfId="0" applyFill="1"/>
    <xf numFmtId="170" fontId="4" fillId="3" borderId="0" xfId="0" applyNumberFormat="1" applyFont="1" applyFill="1" applyAlignment="1">
      <alignment vertical="center"/>
    </xf>
    <xf numFmtId="0" fontId="4" fillId="3" borderId="0" xfId="0" applyFont="1" applyFill="1" applyAlignment="1">
      <alignment vertical="center"/>
    </xf>
    <xf numFmtId="9" fontId="0" fillId="0" borderId="0" xfId="0" applyNumberFormat="1" applyAlignment="1">
      <alignment horizontal="left"/>
    </xf>
    <xf numFmtId="0" fontId="0" fillId="0" borderId="0" xfId="0" applyFont="1"/>
    <xf numFmtId="0" fontId="5" fillId="0" borderId="2" xfId="0" applyFont="1" applyBorder="1"/>
    <xf numFmtId="0" fontId="5" fillId="0" borderId="3" xfId="0" applyFont="1" applyBorder="1"/>
    <xf numFmtId="0" fontId="6" fillId="0" borderId="1" xfId="0" applyFont="1" applyBorder="1" applyAlignment="1">
      <alignment vertical="center"/>
    </xf>
    <xf numFmtId="0" fontId="7" fillId="0" borderId="0" xfId="0" applyFont="1" applyAlignment="1">
      <alignment vertical="center"/>
    </xf>
    <xf numFmtId="0" fontId="3" fillId="0" borderId="5" xfId="0" applyFont="1" applyBorder="1" applyAlignment="1">
      <alignment vertical="center"/>
    </xf>
    <xf numFmtId="0" fontId="3" fillId="0" borderId="4" xfId="0" applyFont="1" applyBorder="1" applyAlignment="1">
      <alignment vertical="center"/>
    </xf>
    <xf numFmtId="0" fontId="3" fillId="0" borderId="6" xfId="0" applyFont="1" applyBorder="1" applyAlignment="1">
      <alignment vertical="center"/>
    </xf>
    <xf numFmtId="0" fontId="3" fillId="0" borderId="7" xfId="0" applyFont="1" applyBorder="1" applyAlignment="1">
      <alignment vertical="center"/>
    </xf>
    <xf numFmtId="0" fontId="3" fillId="0" borderId="8" xfId="0" applyFont="1" applyBorder="1" applyAlignment="1">
      <alignment vertical="center"/>
    </xf>
    <xf numFmtId="0" fontId="3" fillId="0" borderId="9" xfId="0" applyFont="1" applyBorder="1" applyAlignment="1">
      <alignment vertical="center"/>
    </xf>
    <xf numFmtId="0" fontId="0" fillId="0" borderId="0" xfId="0" applyBorder="1"/>
    <xf numFmtId="9" fontId="0" fillId="0" borderId="0" xfId="0" applyNumberFormat="1" applyBorder="1" applyAlignment="1">
      <alignment horizontal="left"/>
    </xf>
    <xf numFmtId="0" fontId="6" fillId="0" borderId="0" xfId="0" applyFont="1" applyBorder="1" applyAlignment="1">
      <alignment vertical="center"/>
    </xf>
    <xf numFmtId="0" fontId="5" fillId="0" borderId="0" xfId="0" applyFont="1" applyBorder="1"/>
    <xf numFmtId="0" fontId="0" fillId="4" borderId="0" xfId="0" applyFill="1"/>
    <xf numFmtId="171" fontId="3" fillId="0" borderId="5" xfId="0" applyNumberFormat="1" applyFont="1" applyBorder="1" applyAlignment="1">
      <alignment vertical="center"/>
    </xf>
    <xf numFmtId="171" fontId="3" fillId="0" borderId="4" xfId="0" applyNumberFormat="1" applyFont="1" applyBorder="1" applyAlignment="1">
      <alignment vertical="center"/>
    </xf>
    <xf numFmtId="171" fontId="3" fillId="0" borderId="6" xfId="0" applyNumberFormat="1" applyFont="1" applyBorder="1" applyAlignment="1">
      <alignment vertical="center"/>
    </xf>
    <xf numFmtId="171" fontId="3" fillId="0" borderId="7" xfId="0" applyNumberFormat="1" applyFont="1" applyBorder="1" applyAlignment="1">
      <alignment vertical="center"/>
    </xf>
    <xf numFmtId="171" fontId="3" fillId="0" borderId="8" xfId="0" applyNumberFormat="1" applyFont="1" applyBorder="1" applyAlignment="1">
      <alignment vertical="center"/>
    </xf>
    <xf numFmtId="171" fontId="3" fillId="0" borderId="9" xfId="0" applyNumberFormat="1" applyFont="1" applyBorder="1" applyAlignment="1">
      <alignment vertical="center"/>
    </xf>
    <xf numFmtId="0" fontId="8" fillId="0" borderId="0" xfId="0" applyFont="1"/>
    <xf numFmtId="9" fontId="2" fillId="0" borderId="0" xfId="0" applyNumberFormat="1" applyFont="1" applyAlignment="1">
      <alignment horizontal="left"/>
    </xf>
    <xf numFmtId="0" fontId="7" fillId="0" borderId="0" xfId="0" applyFont="1" applyBorder="1" applyAlignment="1">
      <alignment vertical="center"/>
    </xf>
    <xf numFmtId="171" fontId="3" fillId="0" borderId="0" xfId="0" applyNumberFormat="1" applyFont="1" applyBorder="1" applyAlignment="1">
      <alignment vertical="center"/>
    </xf>
    <xf numFmtId="171" fontId="3" fillId="0" borderId="0" xfId="0" applyNumberFormat="1" applyFont="1" applyBorder="1" applyAlignment="1">
      <alignment vertical="center"/>
    </xf>
    <xf numFmtId="0" fontId="0" fillId="0" borderId="0" xfId="0" applyAlignment="1">
      <alignment horizontal="left" indent="1"/>
    </xf>
    <xf numFmtId="0" fontId="0" fillId="0" borderId="0" xfId="0" applyNumberFormat="1"/>
    <xf numFmtId="0" fontId="0" fillId="0" borderId="5" xfId="0" applyBorder="1" applyAlignment="1">
      <alignment horizontal="left" vertical="top" wrapText="1"/>
    </xf>
    <xf numFmtId="0" fontId="0" fillId="0" borderId="4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7" xfId="0" applyBorder="1" applyAlignment="1">
      <alignment horizontal="left" vertical="top" wrapText="1"/>
    </xf>
    <xf numFmtId="0" fontId="0" fillId="0" borderId="8" xfId="0" applyBorder="1" applyAlignment="1">
      <alignment horizontal="left" vertical="top" wrapText="1"/>
    </xf>
    <xf numFmtId="0" fontId="0" fillId="0" borderId="9" xfId="0" applyBorder="1" applyAlignment="1">
      <alignment horizontal="left" vertical="top" wrapText="1"/>
    </xf>
    <xf numFmtId="0" fontId="0" fillId="0" borderId="0" xfId="0" applyBorder="1" applyAlignment="1">
      <alignment horizontal="left" vertical="top"/>
    </xf>
  </cellXfs>
  <cellStyles count="1">
    <cellStyle name="Normal" xfId="0" builtinId="0"/>
  </cellStyles>
  <dxfs count="38">
    <dxf>
      <numFmt numFmtId="0" formatCode="General"/>
    </dxf>
    <dxf>
      <numFmt numFmtId="0" formatCode="General"/>
    </dxf>
    <dxf>
      <font>
        <color rgb="FFFF0000"/>
      </font>
    </dxf>
    <dxf>
      <font>
        <color rgb="FF00B050"/>
      </font>
    </dxf>
    <dxf>
      <font>
        <u/>
      </font>
    </dxf>
    <dxf>
      <font>
        <color rgb="FFFF8600"/>
      </font>
    </dxf>
    <dxf>
      <font>
        <color theme="3" tint="0.39994506668294322"/>
      </font>
    </dxf>
    <dxf>
      <font>
        <color rgb="FFFF0000"/>
      </font>
    </dxf>
    <dxf>
      <font>
        <color rgb="FF00B050"/>
      </font>
    </dxf>
    <dxf>
      <font>
        <u/>
      </font>
    </dxf>
    <dxf>
      <font>
        <color rgb="FFFF8600"/>
      </font>
    </dxf>
    <dxf>
      <font>
        <color theme="3" tint="0.39994506668294322"/>
      </font>
    </dxf>
    <dxf>
      <font>
        <color rgb="FFFF0000"/>
      </font>
    </dxf>
    <dxf>
      <font>
        <color rgb="FF00B050"/>
      </font>
    </dxf>
    <dxf>
      <font>
        <u/>
      </font>
    </dxf>
    <dxf>
      <font>
        <color rgb="FFFF8600"/>
      </font>
    </dxf>
    <dxf>
      <font>
        <color theme="3" tint="0.39994506668294322"/>
      </font>
    </dxf>
    <dxf>
      <font>
        <color rgb="FFFF0000"/>
      </font>
    </dxf>
    <dxf>
      <font>
        <color rgb="FF00B050"/>
      </font>
    </dxf>
    <dxf>
      <font>
        <u/>
      </font>
    </dxf>
    <dxf>
      <font>
        <color rgb="FFFF8600"/>
      </font>
    </dxf>
    <dxf>
      <font>
        <color theme="3" tint="0.39994506668294322"/>
      </font>
    </dxf>
    <dxf>
      <font>
        <color rgb="FFFF0000"/>
      </font>
    </dxf>
    <dxf>
      <font>
        <color rgb="FF00B050"/>
      </font>
    </dxf>
    <dxf>
      <font>
        <u/>
      </font>
    </dxf>
    <dxf>
      <font>
        <color rgb="FFFF8600"/>
      </font>
    </dxf>
    <dxf>
      <font>
        <color theme="3" tint="0.39994506668294322"/>
      </font>
    </dxf>
    <dxf>
      <font>
        <color rgb="FFFF0000"/>
      </font>
    </dxf>
    <dxf>
      <font>
        <color rgb="FF00B050"/>
      </font>
    </dxf>
    <dxf>
      <font>
        <u/>
      </font>
    </dxf>
    <dxf>
      <font>
        <color rgb="FFFF8600"/>
      </font>
    </dxf>
    <dxf>
      <font>
        <color theme="3" tint="0.39994506668294322"/>
      </font>
    </dxf>
    <dxf>
      <font>
        <color rgb="FFFF0000"/>
      </font>
    </dxf>
    <dxf>
      <font>
        <color rgb="FF00B050"/>
      </font>
    </dxf>
    <dxf>
      <font>
        <u/>
      </font>
    </dxf>
    <dxf>
      <font>
        <color rgb="FFFF8600"/>
      </font>
    </dxf>
    <dxf>
      <font>
        <color theme="3" tint="0.39994506668294322"/>
      </font>
    </dxf>
    <dxf>
      <numFmt numFmtId="0" formatCode="General"/>
    </dxf>
  </dxfs>
  <tableStyles count="0" defaultTableStyle="TableStyleMedium2" defaultPivotStyle="PivotStyleLight16"/>
  <colors>
    <mruColors>
      <color rgb="FF8CAA00"/>
      <color rgb="FFA5CB00"/>
      <color rgb="FFFF8600"/>
      <color rgb="FF00385A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image" Target="../media/image5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9.png"/><Relationship Id="rId4" Type="http://schemas.openxmlformats.org/officeDocument/2006/relationships/image" Target="../media/image8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8.png"/><Relationship Id="rId4" Type="http://schemas.openxmlformats.org/officeDocument/2006/relationships/image" Target="../media/image9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11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image" Target="../media/image8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6</xdr:row>
      <xdr:rowOff>114262</xdr:rowOff>
    </xdr:from>
    <xdr:to>
      <xdr:col>3</xdr:col>
      <xdr:colOff>7757</xdr:colOff>
      <xdr:row>8</xdr:row>
      <xdr:rowOff>45720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0500" y="1211542"/>
          <a:ext cx="1577477" cy="43437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</xdr:row>
      <xdr:rowOff>0</xdr:rowOff>
    </xdr:from>
    <xdr:to>
      <xdr:col>12</xdr:col>
      <xdr:colOff>534041</xdr:colOff>
      <xdr:row>6</xdr:row>
      <xdr:rowOff>76286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0500" y="182880"/>
          <a:ext cx="7392041" cy="990686"/>
        </a:xfrm>
        <a:prstGeom prst="rect">
          <a:avLst/>
        </a:prstGeom>
      </xdr:spPr>
    </xdr:pic>
    <xdr:clientData/>
  </xdr:twoCellAnchor>
  <xdr:twoCellAnchor editAs="oneCell">
    <xdr:from>
      <xdr:col>3</xdr:col>
      <xdr:colOff>7620</xdr:colOff>
      <xdr:row>7</xdr:row>
      <xdr:rowOff>0</xdr:rowOff>
    </xdr:from>
    <xdr:to>
      <xdr:col>12</xdr:col>
      <xdr:colOff>381491</xdr:colOff>
      <xdr:row>19</xdr:row>
      <xdr:rowOff>53008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b="14257"/>
        <a:stretch/>
      </xdr:blipFill>
      <xdr:spPr>
        <a:xfrm>
          <a:off x="1767840" y="1234440"/>
          <a:ext cx="5662151" cy="2963848"/>
        </a:xfrm>
        <a:prstGeom prst="rect">
          <a:avLst/>
        </a:prstGeom>
      </xdr:spPr>
    </xdr:pic>
    <xdr:clientData/>
  </xdr:twoCellAnchor>
  <xdr:twoCellAnchor editAs="oneCell">
    <xdr:from>
      <xdr:col>10</xdr:col>
      <xdr:colOff>53340</xdr:colOff>
      <xdr:row>16</xdr:row>
      <xdr:rowOff>228600</xdr:rowOff>
    </xdr:from>
    <xdr:to>
      <xdr:col>12</xdr:col>
      <xdr:colOff>190618</xdr:colOff>
      <xdr:row>18</xdr:row>
      <xdr:rowOff>121960</xdr:rowOff>
    </xdr:to>
    <xdr:pic macro="[0]!GoNext"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82640" y="3611880"/>
          <a:ext cx="1356478" cy="45724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45720</xdr:colOff>
      <xdr:row>8</xdr:row>
      <xdr:rowOff>45685</xdr:rowOff>
    </xdr:from>
    <xdr:to>
      <xdr:col>12</xdr:col>
      <xdr:colOff>434832</xdr:colOff>
      <xdr:row>17</xdr:row>
      <xdr:rowOff>175260</xdr:rowOff>
    </xdr:to>
    <xdr:pic>
      <xdr:nvPicPr>
        <xdr:cNvPr id="9" name="Picture 8"/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-1" b="13339"/>
        <a:stretch/>
      </xdr:blipFill>
      <xdr:spPr>
        <a:xfrm>
          <a:off x="1805940" y="1645885"/>
          <a:ext cx="5677392" cy="227841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6</xdr:row>
      <xdr:rowOff>114262</xdr:rowOff>
    </xdr:from>
    <xdr:to>
      <xdr:col>3</xdr:col>
      <xdr:colOff>7757</xdr:colOff>
      <xdr:row>8</xdr:row>
      <xdr:rowOff>45720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115300" y="1211542"/>
          <a:ext cx="1577477" cy="43437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</xdr:row>
      <xdr:rowOff>0</xdr:rowOff>
    </xdr:from>
    <xdr:to>
      <xdr:col>12</xdr:col>
      <xdr:colOff>534041</xdr:colOff>
      <xdr:row>6</xdr:row>
      <xdr:rowOff>76286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115300" y="182880"/>
          <a:ext cx="7392041" cy="990686"/>
        </a:xfrm>
        <a:prstGeom prst="rect">
          <a:avLst/>
        </a:prstGeom>
      </xdr:spPr>
    </xdr:pic>
    <xdr:clientData/>
  </xdr:twoCellAnchor>
  <xdr:twoCellAnchor editAs="oneCell">
    <xdr:from>
      <xdr:col>9</xdr:col>
      <xdr:colOff>144780</xdr:colOff>
      <xdr:row>16</xdr:row>
      <xdr:rowOff>22825</xdr:rowOff>
    </xdr:from>
    <xdr:to>
      <xdr:col>12</xdr:col>
      <xdr:colOff>190663</xdr:colOff>
      <xdr:row>17</xdr:row>
      <xdr:rowOff>60960</xdr:rowOff>
    </xdr:to>
    <xdr:pic macro="[0]!GoNext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364480" y="3406105"/>
          <a:ext cx="1874683" cy="40389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6</xdr:row>
      <xdr:rowOff>114262</xdr:rowOff>
    </xdr:from>
    <xdr:to>
      <xdr:col>3</xdr:col>
      <xdr:colOff>7757</xdr:colOff>
      <xdr:row>8</xdr:row>
      <xdr:rowOff>45720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0500" y="1211542"/>
          <a:ext cx="1577477" cy="43437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</xdr:row>
      <xdr:rowOff>0</xdr:rowOff>
    </xdr:from>
    <xdr:to>
      <xdr:col>12</xdr:col>
      <xdr:colOff>534041</xdr:colOff>
      <xdr:row>6</xdr:row>
      <xdr:rowOff>76286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0500" y="182880"/>
          <a:ext cx="7392041" cy="990686"/>
        </a:xfrm>
        <a:prstGeom prst="rect">
          <a:avLst/>
        </a:prstGeom>
      </xdr:spPr>
    </xdr:pic>
    <xdr:clientData/>
  </xdr:twoCellAnchor>
  <xdr:twoCellAnchor editAs="oneCell">
    <xdr:from>
      <xdr:col>3</xdr:col>
      <xdr:colOff>15240</xdr:colOff>
      <xdr:row>14</xdr:row>
      <xdr:rowOff>350520</xdr:rowOff>
    </xdr:from>
    <xdr:to>
      <xdr:col>12</xdr:col>
      <xdr:colOff>389111</xdr:colOff>
      <xdr:row>26</xdr:row>
      <xdr:rowOff>91646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75460" y="3139440"/>
          <a:ext cx="5662151" cy="2377646"/>
        </a:xfrm>
        <a:prstGeom prst="rect">
          <a:avLst/>
        </a:prstGeom>
      </xdr:spPr>
    </xdr:pic>
    <xdr:clientData/>
  </xdr:twoCellAnchor>
  <xdr:twoCellAnchor editAs="oneCell">
    <xdr:from>
      <xdr:col>8</xdr:col>
      <xdr:colOff>556260</xdr:colOff>
      <xdr:row>15</xdr:row>
      <xdr:rowOff>137160</xdr:rowOff>
    </xdr:from>
    <xdr:to>
      <xdr:col>12</xdr:col>
      <xdr:colOff>160197</xdr:colOff>
      <xdr:row>17</xdr:row>
      <xdr:rowOff>37</xdr:rowOff>
    </xdr:to>
    <xdr:pic macro="[0]!GoNext"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166360" y="3322320"/>
          <a:ext cx="2042337" cy="426757"/>
        </a:xfrm>
        <a:prstGeom prst="rect">
          <a:avLst/>
        </a:prstGeom>
      </xdr:spPr>
    </xdr:pic>
    <xdr:clientData/>
  </xdr:twoCellAnchor>
  <xdr:twoCellAnchor editAs="oneCell">
    <xdr:from>
      <xdr:col>3</xdr:col>
      <xdr:colOff>213360</xdr:colOff>
      <xdr:row>8</xdr:row>
      <xdr:rowOff>121920</xdr:rowOff>
    </xdr:from>
    <xdr:to>
      <xdr:col>11</xdr:col>
      <xdr:colOff>472868</xdr:colOff>
      <xdr:row>11</xdr:row>
      <xdr:rowOff>160075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973580" y="1722120"/>
          <a:ext cx="4938188" cy="63251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6</xdr:row>
      <xdr:rowOff>114262</xdr:rowOff>
    </xdr:from>
    <xdr:to>
      <xdr:col>3</xdr:col>
      <xdr:colOff>7757</xdr:colOff>
      <xdr:row>8</xdr:row>
      <xdr:rowOff>45720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0500" y="1211542"/>
          <a:ext cx="1577477" cy="43437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</xdr:row>
      <xdr:rowOff>0</xdr:rowOff>
    </xdr:from>
    <xdr:to>
      <xdr:col>12</xdr:col>
      <xdr:colOff>534041</xdr:colOff>
      <xdr:row>6</xdr:row>
      <xdr:rowOff>76286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0500" y="182880"/>
          <a:ext cx="7392041" cy="990686"/>
        </a:xfrm>
        <a:prstGeom prst="rect">
          <a:avLst/>
        </a:prstGeom>
      </xdr:spPr>
    </xdr:pic>
    <xdr:clientData/>
  </xdr:twoCellAnchor>
  <xdr:twoCellAnchor editAs="oneCell">
    <xdr:from>
      <xdr:col>3</xdr:col>
      <xdr:colOff>15240</xdr:colOff>
      <xdr:row>16</xdr:row>
      <xdr:rowOff>152400</xdr:rowOff>
    </xdr:from>
    <xdr:to>
      <xdr:col>12</xdr:col>
      <xdr:colOff>389111</xdr:colOff>
      <xdr:row>28</xdr:row>
      <xdr:rowOff>122126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75460" y="3535680"/>
          <a:ext cx="5662151" cy="2377646"/>
        </a:xfrm>
        <a:prstGeom prst="rect">
          <a:avLst/>
        </a:prstGeom>
      </xdr:spPr>
    </xdr:pic>
    <xdr:clientData/>
  </xdr:twoCellAnchor>
  <xdr:twoCellAnchor editAs="oneCell">
    <xdr:from>
      <xdr:col>3</xdr:col>
      <xdr:colOff>213360</xdr:colOff>
      <xdr:row>8</xdr:row>
      <xdr:rowOff>121920</xdr:rowOff>
    </xdr:from>
    <xdr:to>
      <xdr:col>11</xdr:col>
      <xdr:colOff>472868</xdr:colOff>
      <xdr:row>11</xdr:row>
      <xdr:rowOff>160075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973580" y="1722120"/>
          <a:ext cx="4938188" cy="632515"/>
        </a:xfrm>
        <a:prstGeom prst="rect">
          <a:avLst/>
        </a:prstGeom>
      </xdr:spPr>
    </xdr:pic>
    <xdr:clientData/>
  </xdr:twoCellAnchor>
  <xdr:twoCellAnchor>
    <xdr:from>
      <xdr:col>8</xdr:col>
      <xdr:colOff>556260</xdr:colOff>
      <xdr:row>16</xdr:row>
      <xdr:rowOff>335280</xdr:rowOff>
    </xdr:from>
    <xdr:to>
      <xdr:col>12</xdr:col>
      <xdr:colOff>160197</xdr:colOff>
      <xdr:row>19</xdr:row>
      <xdr:rowOff>37</xdr:rowOff>
    </xdr:to>
    <xdr:grpSp>
      <xdr:nvGrpSpPr>
        <xdr:cNvPr id="8" name="Group 7"/>
        <xdr:cNvGrpSpPr/>
      </xdr:nvGrpSpPr>
      <xdr:grpSpPr>
        <a:xfrm>
          <a:off x="5166360" y="3718560"/>
          <a:ext cx="2042337" cy="426757"/>
          <a:chOff x="5166360" y="3322320"/>
          <a:chExt cx="2042337" cy="426757"/>
        </a:xfrm>
      </xdr:grpSpPr>
      <xdr:pic macro="[0]!GoNext">
        <xdr:nvPicPr>
          <xdr:cNvPr id="5" name="Picture 4"/>
          <xdr:cNvPicPr>
            <a:picLocks noChangeAspect="1"/>
          </xdr:cNvPicPr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5166360" y="3322320"/>
            <a:ext cx="2042337" cy="426757"/>
          </a:xfrm>
          <a:prstGeom prst="rect">
            <a:avLst/>
          </a:prstGeom>
        </xdr:spPr>
      </xdr:pic>
      <xdr:sp macro="[0]!GoNext" textlink="">
        <xdr:nvSpPr>
          <xdr:cNvPr id="7" name="TextBox 6"/>
          <xdr:cNvSpPr txBox="1"/>
        </xdr:nvSpPr>
        <xdr:spPr>
          <a:xfrm>
            <a:off x="5219700" y="3390900"/>
            <a:ext cx="1684020" cy="251460"/>
          </a:xfrm>
          <a:prstGeom prst="rect">
            <a:avLst/>
          </a:prstGeom>
          <a:gradFill>
            <a:gsLst>
              <a:gs pos="0">
                <a:srgbClr val="A5CB00"/>
              </a:gs>
              <a:gs pos="100000">
                <a:srgbClr val="8CAA00"/>
              </a:gs>
            </a:gsLst>
            <a:lin ang="5400000" scaled="0"/>
          </a:gra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en-US" sz="1400" b="0">
                <a:solidFill>
                  <a:schemeClr val="bg1"/>
                </a:solidFill>
              </a:rPr>
              <a:t>Save and Summarize Cart</a:t>
            </a:r>
          </a:p>
        </xdr:txBody>
      </xdr:sp>
    </xdr:grpSp>
    <xdr:clientData/>
  </xdr:twoCellAnchor>
  <xdr:twoCellAnchor>
    <xdr:from>
      <xdr:col>3</xdr:col>
      <xdr:colOff>220980</xdr:colOff>
      <xdr:row>8</xdr:row>
      <xdr:rowOff>91440</xdr:rowOff>
    </xdr:from>
    <xdr:to>
      <xdr:col>11</xdr:col>
      <xdr:colOff>464820</xdr:colOff>
      <xdr:row>11</xdr:row>
      <xdr:rowOff>68580</xdr:rowOff>
    </xdr:to>
    <xdr:sp macro="" textlink="">
      <xdr:nvSpPr>
        <xdr:cNvPr id="9" name="TextBox 8"/>
        <xdr:cNvSpPr txBox="1"/>
      </xdr:nvSpPr>
      <xdr:spPr>
        <a:xfrm>
          <a:off x="1981200" y="1691640"/>
          <a:ext cx="4922520" cy="5715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/>
            <a:t>Enter the amount you require for your </a:t>
          </a:r>
          <a:r>
            <a:rPr lang="en-US" sz="1400" b="1" baseline="0"/>
            <a:t>class trip.</a:t>
          </a:r>
        </a:p>
        <a:p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6</xdr:row>
      <xdr:rowOff>114262</xdr:rowOff>
    </xdr:from>
    <xdr:to>
      <xdr:col>3</xdr:col>
      <xdr:colOff>7757</xdr:colOff>
      <xdr:row>8</xdr:row>
      <xdr:rowOff>45720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0500" y="1211542"/>
          <a:ext cx="1577477" cy="43437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</xdr:row>
      <xdr:rowOff>0</xdr:rowOff>
    </xdr:from>
    <xdr:to>
      <xdr:col>12</xdr:col>
      <xdr:colOff>534041</xdr:colOff>
      <xdr:row>6</xdr:row>
      <xdr:rowOff>76286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0500" y="182880"/>
          <a:ext cx="7392041" cy="990686"/>
        </a:xfrm>
        <a:prstGeom prst="rect">
          <a:avLst/>
        </a:prstGeom>
      </xdr:spPr>
    </xdr:pic>
    <xdr:clientData/>
  </xdr:twoCellAnchor>
  <xdr:twoCellAnchor editAs="oneCell">
    <xdr:from>
      <xdr:col>3</xdr:col>
      <xdr:colOff>297180</xdr:colOff>
      <xdr:row>10</xdr:row>
      <xdr:rowOff>83820</xdr:rowOff>
    </xdr:from>
    <xdr:to>
      <xdr:col>12</xdr:col>
      <xdr:colOff>251915</xdr:colOff>
      <xdr:row>14</xdr:row>
      <xdr:rowOff>259164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057400" y="2080260"/>
          <a:ext cx="5243015" cy="967824"/>
        </a:xfrm>
        <a:prstGeom prst="rect">
          <a:avLst/>
        </a:prstGeom>
      </xdr:spPr>
    </xdr:pic>
    <xdr:clientData/>
  </xdr:twoCellAnchor>
  <xdr:twoCellAnchor editAs="oneCell">
    <xdr:from>
      <xdr:col>9</xdr:col>
      <xdr:colOff>182880</xdr:colOff>
      <xdr:row>17</xdr:row>
      <xdr:rowOff>114300</xdr:rowOff>
    </xdr:from>
    <xdr:to>
      <xdr:col>12</xdr:col>
      <xdr:colOff>556451</xdr:colOff>
      <xdr:row>19</xdr:row>
      <xdr:rowOff>167679</xdr:rowOff>
    </xdr:to>
    <xdr:pic macro="[0]!GoNext"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402580" y="3863340"/>
          <a:ext cx="2202371" cy="449619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495301</xdr:colOff>
      <xdr:row>23</xdr:row>
      <xdr:rowOff>0</xdr:rowOff>
    </xdr:from>
    <xdr:to>
      <xdr:col>11</xdr:col>
      <xdr:colOff>388621</xdr:colOff>
      <xdr:row>25</xdr:row>
      <xdr:rowOff>60997</xdr:rowOff>
    </xdr:to>
    <xdr:pic macro="[0]!GoNext">
      <xdr:nvPicPr>
        <xdr:cNvPr id="10" name="Picture 9"/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r="15679"/>
        <a:stretch/>
      </xdr:blipFill>
      <xdr:spPr>
        <a:xfrm>
          <a:off x="5105401" y="5090160"/>
          <a:ext cx="1722120" cy="426757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6</xdr:row>
      <xdr:rowOff>114262</xdr:rowOff>
    </xdr:from>
    <xdr:to>
      <xdr:col>3</xdr:col>
      <xdr:colOff>7757</xdr:colOff>
      <xdr:row>8</xdr:row>
      <xdr:rowOff>45720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0500" y="1211542"/>
          <a:ext cx="1577477" cy="43437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</xdr:row>
      <xdr:rowOff>0</xdr:rowOff>
    </xdr:from>
    <xdr:to>
      <xdr:col>12</xdr:col>
      <xdr:colOff>534041</xdr:colOff>
      <xdr:row>6</xdr:row>
      <xdr:rowOff>76286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90500" y="182880"/>
          <a:ext cx="7392041" cy="990686"/>
        </a:xfrm>
        <a:prstGeom prst="rect">
          <a:avLst/>
        </a:prstGeom>
      </xdr:spPr>
    </xdr:pic>
    <xdr:clientData/>
  </xdr:twoCellAnchor>
  <xdr:twoCellAnchor>
    <xdr:from>
      <xdr:col>9</xdr:col>
      <xdr:colOff>335280</xdr:colOff>
      <xdr:row>23</xdr:row>
      <xdr:rowOff>0</xdr:rowOff>
    </xdr:from>
    <xdr:to>
      <xdr:col>12</xdr:col>
      <xdr:colOff>411657</xdr:colOff>
      <xdr:row>25</xdr:row>
      <xdr:rowOff>60997</xdr:rowOff>
    </xdr:to>
    <xdr:pic macro="[0]!GoNext">
      <xdr:nvPicPr>
        <xdr:cNvPr id="7" name="Picture 6"/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6716"/>
        <a:stretch/>
      </xdr:blipFill>
      <xdr:spPr>
        <a:xfrm>
          <a:off x="5554980" y="5090160"/>
          <a:ext cx="1905177" cy="426757"/>
        </a:xfrm>
        <a:prstGeom prst="rect">
          <a:avLst/>
        </a:prstGeom>
      </xdr:spPr>
    </xdr:pic>
    <xdr:clientData/>
  </xdr:twoCellAnchor>
  <xdr:twoCellAnchor>
    <xdr:from>
      <xdr:col>8</xdr:col>
      <xdr:colOff>579120</xdr:colOff>
      <xdr:row>23</xdr:row>
      <xdr:rowOff>68580</xdr:rowOff>
    </xdr:from>
    <xdr:to>
      <xdr:col>12</xdr:col>
      <xdr:colOff>106680</xdr:colOff>
      <xdr:row>24</xdr:row>
      <xdr:rowOff>137160</xdr:rowOff>
    </xdr:to>
    <xdr:sp macro="[0]!GoNext" textlink="">
      <xdr:nvSpPr>
        <xdr:cNvPr id="8" name="TextBox 7"/>
        <xdr:cNvSpPr txBox="1"/>
      </xdr:nvSpPr>
      <xdr:spPr>
        <a:xfrm>
          <a:off x="5189220" y="5158740"/>
          <a:ext cx="1965960" cy="251460"/>
        </a:xfrm>
        <a:prstGeom prst="rect">
          <a:avLst/>
        </a:prstGeom>
        <a:gradFill>
          <a:gsLst>
            <a:gs pos="0">
              <a:srgbClr val="A5CB00"/>
            </a:gs>
            <a:gs pos="100000">
              <a:srgbClr val="8CAA00"/>
            </a:gs>
          </a:gsLst>
          <a:lin ang="5400000" scaled="0"/>
        </a:gra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1400" b="0">
              <a:solidFill>
                <a:schemeClr val="bg1"/>
              </a:solidFill>
            </a:rPr>
            <a:t>Save and Provide Details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6</xdr:row>
      <xdr:rowOff>114262</xdr:rowOff>
    </xdr:from>
    <xdr:to>
      <xdr:col>3</xdr:col>
      <xdr:colOff>7757</xdr:colOff>
      <xdr:row>8</xdr:row>
      <xdr:rowOff>45720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0500" y="1211542"/>
          <a:ext cx="1577477" cy="43437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</xdr:row>
      <xdr:rowOff>0</xdr:rowOff>
    </xdr:from>
    <xdr:to>
      <xdr:col>12</xdr:col>
      <xdr:colOff>534041</xdr:colOff>
      <xdr:row>6</xdr:row>
      <xdr:rowOff>76286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0500" y="182880"/>
          <a:ext cx="7392041" cy="990686"/>
        </a:xfrm>
        <a:prstGeom prst="rect">
          <a:avLst/>
        </a:prstGeom>
      </xdr:spPr>
    </xdr:pic>
    <xdr:clientData/>
  </xdr:twoCellAnchor>
  <xdr:twoCellAnchor editAs="oneCell">
    <xdr:from>
      <xdr:col>3</xdr:col>
      <xdr:colOff>289560</xdr:colOff>
      <xdr:row>10</xdr:row>
      <xdr:rowOff>129540</xdr:rowOff>
    </xdr:from>
    <xdr:to>
      <xdr:col>12</xdr:col>
      <xdr:colOff>350984</xdr:colOff>
      <xdr:row>19</xdr:row>
      <xdr:rowOff>167830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049780" y="2125980"/>
          <a:ext cx="5349704" cy="218713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Table1" displayName="Table1" ref="C6:I17" totalsRowShown="0">
  <autoFilter ref="C6:I17"/>
  <tableColumns count="7">
    <tableColumn id="1" name="Keyword"/>
    <tableColumn id="2" name="story_challenge" dataDxfId="1">
      <calculatedColumnFormula>MIN(IFERROR(SEARCH($C7,story_challenge,1),0),1)</calculatedColumnFormula>
    </tableColumn>
    <tableColumn id="3" name="story_students" dataDxfId="0">
      <calculatedColumnFormula>MIN(IFERROR(SEARCH($C7,story_students,1),0),1)</calculatedColumnFormula>
    </tableColumn>
    <tableColumn id="5" name="story_project"/>
    <tableColumn id="6" name="IsRec"/>
    <tableColumn id="7" name="Score" dataDxfId="37">
      <calculatedColumnFormula>SUM(D7:F7)*G7/SUM(Table1[IsRec])</calculatedColumnFormula>
    </tableColumn>
    <tableColumn id="4" name="Sugges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B7:M24"/>
  <sheetViews>
    <sheetView showGridLines="0" showRowColHeaders="0" tabSelected="1" zoomScaleNormal="100" workbookViewId="0">
      <selection activeCell="U33" sqref="U33"/>
    </sheetView>
  </sheetViews>
  <sheetFormatPr defaultRowHeight="14.4" x14ac:dyDescent="0.3"/>
  <cols>
    <col min="1" max="1" width="2.77734375" customWidth="1"/>
    <col min="2" max="2" width="3.77734375" customWidth="1"/>
    <col min="3" max="3" width="19.109375" style="1" customWidth="1"/>
    <col min="4" max="4" width="6" customWidth="1"/>
  </cols>
  <sheetData>
    <row r="7" spans="2:13" ht="10.8" customHeight="1" x14ac:dyDescent="0.3"/>
    <row r="8" spans="2:13" ht="28.8" customHeight="1" x14ac:dyDescent="0.3">
      <c r="D8" s="9">
        <v>1</v>
      </c>
      <c r="E8" s="10" t="s">
        <v>0</v>
      </c>
      <c r="F8" s="8"/>
      <c r="G8" s="8"/>
      <c r="H8" s="8"/>
      <c r="I8" s="8"/>
      <c r="J8" s="8"/>
      <c r="K8" s="8"/>
      <c r="L8" s="8"/>
      <c r="M8" s="27"/>
    </row>
    <row r="9" spans="2:13" ht="15.6" customHeight="1" x14ac:dyDescent="0.3">
      <c r="B9" s="3">
        <v>1</v>
      </c>
      <c r="C9" s="4" t="s">
        <v>0</v>
      </c>
    </row>
    <row r="10" spans="2:13" ht="15.6" customHeight="1" x14ac:dyDescent="0.3">
      <c r="B10" s="3">
        <v>2</v>
      </c>
      <c r="C10" s="4" t="s">
        <v>1</v>
      </c>
      <c r="E10" s="23"/>
      <c r="F10" s="23"/>
      <c r="G10" s="24"/>
      <c r="H10" s="25"/>
      <c r="I10" s="26"/>
      <c r="J10" s="26"/>
      <c r="K10" s="23"/>
    </row>
    <row r="11" spans="2:13" ht="15.6" customHeight="1" x14ac:dyDescent="0.3">
      <c r="B11" s="3">
        <v>3</v>
      </c>
      <c r="C11" s="4" t="s">
        <v>2</v>
      </c>
    </row>
    <row r="12" spans="2:13" ht="15.6" customHeight="1" x14ac:dyDescent="0.3">
      <c r="B12" s="3">
        <v>4</v>
      </c>
      <c r="C12" s="4" t="s">
        <v>3</v>
      </c>
    </row>
    <row r="13" spans="2:13" ht="15.6" customHeight="1" x14ac:dyDescent="0.3">
      <c r="B13" s="3">
        <v>5</v>
      </c>
      <c r="C13" s="4" t="s">
        <v>4</v>
      </c>
    </row>
    <row r="14" spans="2:13" ht="15.6" customHeight="1" x14ac:dyDescent="0.3">
      <c r="B14" s="3">
        <v>6</v>
      </c>
      <c r="C14" s="4" t="s">
        <v>5</v>
      </c>
    </row>
    <row r="15" spans="2:13" ht="31.2" customHeight="1" x14ac:dyDescent="0.3">
      <c r="B15" s="3">
        <v>7</v>
      </c>
      <c r="C15" s="4" t="s">
        <v>6</v>
      </c>
    </row>
    <row r="16" spans="2:13" ht="15.6" customHeight="1" x14ac:dyDescent="0.3">
      <c r="B16" s="3">
        <v>8</v>
      </c>
      <c r="C16" s="4" t="s">
        <v>7</v>
      </c>
    </row>
    <row r="17" spans="2:3" ht="28.8" x14ac:dyDescent="0.3">
      <c r="B17" s="3">
        <v>9</v>
      </c>
      <c r="C17" s="4" t="s">
        <v>10</v>
      </c>
    </row>
    <row r="18" spans="2:3" ht="15.6" customHeight="1" x14ac:dyDescent="0.3">
      <c r="B18" s="3">
        <v>10</v>
      </c>
      <c r="C18" s="4" t="s">
        <v>8</v>
      </c>
    </row>
    <row r="19" spans="2:3" ht="15.6" customHeight="1" x14ac:dyDescent="0.3">
      <c r="B19" s="3"/>
      <c r="C19" s="4"/>
    </row>
    <row r="20" spans="2:3" x14ac:dyDescent="0.3">
      <c r="B20" s="5"/>
      <c r="C20" s="6"/>
    </row>
    <row r="21" spans="2:3" x14ac:dyDescent="0.3">
      <c r="B21" s="5"/>
      <c r="C21" s="6"/>
    </row>
    <row r="22" spans="2:3" x14ac:dyDescent="0.3">
      <c r="B22" s="5"/>
      <c r="C22" s="6"/>
    </row>
    <row r="23" spans="2:3" x14ac:dyDescent="0.3">
      <c r="B23" s="5"/>
      <c r="C23" s="6"/>
    </row>
    <row r="24" spans="2:3" x14ac:dyDescent="0.3">
      <c r="B24" s="5"/>
      <c r="C24" s="6"/>
    </row>
  </sheetData>
  <conditionalFormatting sqref="B9:C24">
    <cfRule type="expression" dxfId="36" priority="4">
      <formula>AND($B9&lt;$D$8)</formula>
    </cfRule>
    <cfRule type="expression" dxfId="35" priority="5">
      <formula>AND($B9=$D$8)</formula>
    </cfRule>
  </conditionalFormatting>
  <conditionalFormatting sqref="C9:C24">
    <cfRule type="expression" dxfId="34" priority="3">
      <formula>AND($B9&lt;$D$8)</formula>
    </cfRule>
  </conditionalFormatting>
  <conditionalFormatting sqref="H10">
    <cfRule type="expression" dxfId="33" priority="1">
      <formula>AND(G10&gt;0.7)</formula>
    </cfRule>
    <cfRule type="expression" dxfId="32" priority="2">
      <formula>AND(G10&lt;0.5)</formula>
    </cfRule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7:M24"/>
  <sheetViews>
    <sheetView showGridLines="0" showRowColHeaders="0" workbookViewId="0">
      <selection activeCell="O15" sqref="O15"/>
    </sheetView>
  </sheetViews>
  <sheetFormatPr defaultRowHeight="14.4" x14ac:dyDescent="0.3"/>
  <cols>
    <col min="1" max="1" width="2.77734375" customWidth="1"/>
    <col min="2" max="2" width="3.77734375" customWidth="1"/>
    <col min="3" max="3" width="19.109375" style="1" customWidth="1"/>
    <col min="4" max="4" width="6" customWidth="1"/>
  </cols>
  <sheetData>
    <row r="7" spans="2:13" ht="10.8" customHeight="1" x14ac:dyDescent="0.3"/>
    <row r="8" spans="2:13" ht="28.8" customHeight="1" x14ac:dyDescent="0.3">
      <c r="D8" s="9">
        <v>2</v>
      </c>
      <c r="E8" s="10" t="s">
        <v>1</v>
      </c>
      <c r="F8" s="8"/>
      <c r="G8" s="8"/>
      <c r="H8" s="8"/>
      <c r="I8" s="8"/>
      <c r="J8" s="8"/>
      <c r="K8" s="8"/>
      <c r="L8" s="8"/>
      <c r="M8" s="8"/>
    </row>
    <row r="9" spans="2:13" ht="15.6" customHeight="1" x14ac:dyDescent="0.3">
      <c r="B9" s="3">
        <v>1</v>
      </c>
      <c r="C9" s="4" t="s">
        <v>0</v>
      </c>
    </row>
    <row r="10" spans="2:13" ht="15.6" customHeight="1" x14ac:dyDescent="0.3">
      <c r="B10" s="3">
        <v>2</v>
      </c>
      <c r="C10" s="4" t="s">
        <v>1</v>
      </c>
      <c r="E10" s="23"/>
      <c r="F10" s="23"/>
      <c r="G10" s="24"/>
      <c r="H10" s="25"/>
      <c r="I10" s="26"/>
      <c r="J10" s="26"/>
      <c r="K10" s="23"/>
    </row>
    <row r="11" spans="2:13" ht="15.6" customHeight="1" x14ac:dyDescent="0.3">
      <c r="B11" s="3">
        <v>3</v>
      </c>
      <c r="C11" s="4" t="s">
        <v>2</v>
      </c>
    </row>
    <row r="12" spans="2:13" ht="15.6" customHeight="1" x14ac:dyDescent="0.3">
      <c r="B12" s="3">
        <v>4</v>
      </c>
      <c r="C12" s="4" t="s">
        <v>3</v>
      </c>
    </row>
    <row r="13" spans="2:13" ht="15.6" customHeight="1" x14ac:dyDescent="0.3">
      <c r="B13" s="3">
        <v>5</v>
      </c>
      <c r="C13" s="4" t="s">
        <v>4</v>
      </c>
    </row>
    <row r="14" spans="2:13" ht="15.6" customHeight="1" x14ac:dyDescent="0.3">
      <c r="B14" s="3">
        <v>6</v>
      </c>
      <c r="C14" s="4" t="s">
        <v>5</v>
      </c>
    </row>
    <row r="15" spans="2:13" ht="31.2" customHeight="1" x14ac:dyDescent="0.3">
      <c r="B15" s="3">
        <v>7</v>
      </c>
      <c r="C15" s="4" t="s">
        <v>6</v>
      </c>
    </row>
    <row r="16" spans="2:13" ht="15.6" customHeight="1" x14ac:dyDescent="0.3">
      <c r="B16" s="3">
        <v>8</v>
      </c>
      <c r="C16" s="4" t="s">
        <v>7</v>
      </c>
    </row>
    <row r="17" spans="2:3" ht="28.8" x14ac:dyDescent="0.3">
      <c r="B17" s="3">
        <v>9</v>
      </c>
      <c r="C17" s="4" t="s">
        <v>10</v>
      </c>
    </row>
    <row r="18" spans="2:3" ht="15.6" customHeight="1" x14ac:dyDescent="0.3">
      <c r="B18" s="3">
        <v>10</v>
      </c>
      <c r="C18" s="4" t="s">
        <v>8</v>
      </c>
    </row>
    <row r="19" spans="2:3" ht="15.6" customHeight="1" x14ac:dyDescent="0.3">
      <c r="B19" s="3"/>
      <c r="C19" s="4"/>
    </row>
    <row r="20" spans="2:3" x14ac:dyDescent="0.3">
      <c r="B20" s="5"/>
      <c r="C20" s="6"/>
    </row>
    <row r="21" spans="2:3" x14ac:dyDescent="0.3">
      <c r="B21" s="5"/>
      <c r="C21" s="6"/>
    </row>
    <row r="22" spans="2:3" x14ac:dyDescent="0.3">
      <c r="B22" s="5"/>
      <c r="C22" s="6"/>
    </row>
    <row r="23" spans="2:3" x14ac:dyDescent="0.3">
      <c r="B23" s="5"/>
      <c r="C23" s="6"/>
    </row>
    <row r="24" spans="2:3" x14ac:dyDescent="0.3">
      <c r="B24" s="5"/>
      <c r="C24" s="6"/>
    </row>
  </sheetData>
  <conditionalFormatting sqref="B9:C24">
    <cfRule type="expression" dxfId="31" priority="4">
      <formula>AND($B9&lt;$D$8)</formula>
    </cfRule>
    <cfRule type="expression" dxfId="30" priority="5">
      <formula>AND($B9=$D$8)</formula>
    </cfRule>
  </conditionalFormatting>
  <conditionalFormatting sqref="C9:C24">
    <cfRule type="expression" dxfId="29" priority="3">
      <formula>AND($B9&lt;$D$8)</formula>
    </cfRule>
  </conditionalFormatting>
  <conditionalFormatting sqref="H10">
    <cfRule type="expression" dxfId="28" priority="1">
      <formula>AND(G10&gt;0.7)</formula>
    </cfRule>
    <cfRule type="expression" dxfId="27" priority="2">
      <formula>AND(G10&lt;0.5)</formula>
    </cfRule>
  </conditionalFormatting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B7:M26"/>
  <sheetViews>
    <sheetView showGridLines="0" showRowColHeaders="0" workbookViewId="0">
      <selection activeCell="F13" sqref="F13:K14"/>
    </sheetView>
  </sheetViews>
  <sheetFormatPr defaultRowHeight="14.4" x14ac:dyDescent="0.3"/>
  <cols>
    <col min="1" max="1" width="2.77734375" customWidth="1"/>
    <col min="2" max="2" width="3.77734375" customWidth="1"/>
    <col min="3" max="3" width="19.109375" style="1" customWidth="1"/>
    <col min="4" max="4" width="6" customWidth="1"/>
  </cols>
  <sheetData>
    <row r="7" spans="2:13" ht="10.8" customHeight="1" x14ac:dyDescent="0.3"/>
    <row r="8" spans="2:13" ht="28.8" customHeight="1" x14ac:dyDescent="0.3">
      <c r="D8" s="9">
        <v>3</v>
      </c>
      <c r="E8" s="10" t="s">
        <v>2</v>
      </c>
      <c r="F8" s="8"/>
      <c r="G8" s="8"/>
      <c r="H8" s="8"/>
      <c r="I8" s="8"/>
      <c r="J8" s="8"/>
      <c r="K8" s="8"/>
      <c r="L8" s="8"/>
      <c r="M8" s="8"/>
    </row>
    <row r="9" spans="2:13" ht="15.6" customHeight="1" x14ac:dyDescent="0.3">
      <c r="B9" s="3">
        <v>1</v>
      </c>
      <c r="C9" s="4" t="s">
        <v>0</v>
      </c>
    </row>
    <row r="10" spans="2:13" ht="15.6" customHeight="1" x14ac:dyDescent="0.3">
      <c r="B10" s="3">
        <v>2</v>
      </c>
      <c r="C10" s="4" t="s">
        <v>1</v>
      </c>
      <c r="G10" s="11"/>
      <c r="H10" s="15"/>
      <c r="I10" s="13"/>
      <c r="J10" s="14"/>
    </row>
    <row r="11" spans="2:13" ht="15.6" customHeight="1" x14ac:dyDescent="0.3">
      <c r="B11" s="3">
        <v>3</v>
      </c>
      <c r="C11" s="4" t="s">
        <v>2</v>
      </c>
    </row>
    <row r="12" spans="2:13" ht="15.6" customHeight="1" x14ac:dyDescent="0.3">
      <c r="B12" s="3">
        <v>4</v>
      </c>
      <c r="C12" s="4" t="s">
        <v>3</v>
      </c>
    </row>
    <row r="13" spans="2:13" ht="15.6" customHeight="1" x14ac:dyDescent="0.3">
      <c r="B13" s="3">
        <v>5</v>
      </c>
      <c r="C13" s="4" t="s">
        <v>4</v>
      </c>
      <c r="E13" s="16" t="s">
        <v>11</v>
      </c>
      <c r="F13" s="17"/>
      <c r="G13" s="18"/>
      <c r="H13" s="18"/>
      <c r="I13" s="18"/>
      <c r="J13" s="18"/>
      <c r="K13" s="19"/>
    </row>
    <row r="14" spans="2:13" ht="15.6" customHeight="1" x14ac:dyDescent="0.3">
      <c r="B14" s="3">
        <v>6</v>
      </c>
      <c r="C14" s="4" t="s">
        <v>5</v>
      </c>
      <c r="E14" s="16"/>
      <c r="F14" s="20"/>
      <c r="G14" s="21"/>
      <c r="H14" s="21"/>
      <c r="I14" s="21"/>
      <c r="J14" s="21"/>
      <c r="K14" s="22"/>
    </row>
    <row r="15" spans="2:13" ht="31.2" customHeight="1" x14ac:dyDescent="0.3">
      <c r="B15" s="3">
        <v>7</v>
      </c>
      <c r="C15" s="4" t="s">
        <v>6</v>
      </c>
    </row>
    <row r="16" spans="2:13" ht="15.6" customHeight="1" x14ac:dyDescent="0.3">
      <c r="B16" s="3">
        <v>8</v>
      </c>
      <c r="C16" s="4" t="s">
        <v>7</v>
      </c>
    </row>
    <row r="17" spans="2:3" ht="28.8" x14ac:dyDescent="0.3">
      <c r="B17" s="3">
        <v>9</v>
      </c>
      <c r="C17" s="4" t="s">
        <v>10</v>
      </c>
    </row>
    <row r="18" spans="2:3" ht="15.6" customHeight="1" x14ac:dyDescent="0.3">
      <c r="B18" s="3">
        <v>10</v>
      </c>
      <c r="C18" s="4" t="s">
        <v>8</v>
      </c>
    </row>
    <row r="19" spans="2:3" ht="15.6" customHeight="1" x14ac:dyDescent="0.3">
      <c r="B19" s="3"/>
      <c r="C19" s="4"/>
    </row>
    <row r="20" spans="2:3" x14ac:dyDescent="0.3">
      <c r="B20" s="5"/>
      <c r="C20" s="6"/>
    </row>
    <row r="21" spans="2:3" x14ac:dyDescent="0.3">
      <c r="B21" s="5"/>
      <c r="C21" s="6"/>
    </row>
    <row r="22" spans="2:3" x14ac:dyDescent="0.3">
      <c r="B22" s="5"/>
      <c r="C22" s="6"/>
    </row>
    <row r="23" spans="2:3" x14ac:dyDescent="0.3">
      <c r="B23" s="5"/>
      <c r="C23" s="6"/>
    </row>
    <row r="24" spans="2:3" x14ac:dyDescent="0.3">
      <c r="B24" s="5"/>
      <c r="C24" s="6"/>
    </row>
    <row r="25" spans="2:3" x14ac:dyDescent="0.3">
      <c r="B25" s="5"/>
      <c r="C25" s="6"/>
    </row>
    <row r="26" spans="2:3" x14ac:dyDescent="0.3">
      <c r="B26" s="5"/>
      <c r="C26" s="6"/>
    </row>
  </sheetData>
  <mergeCells count="2">
    <mergeCell ref="E13:E14"/>
    <mergeCell ref="F13:K14"/>
  </mergeCells>
  <conditionalFormatting sqref="B9:C26">
    <cfRule type="expression" dxfId="26" priority="4">
      <formula>AND($B9&lt;$D$8)</formula>
    </cfRule>
    <cfRule type="expression" dxfId="25" priority="5">
      <formula>AND($B9=$D$8)</formula>
    </cfRule>
  </conditionalFormatting>
  <conditionalFormatting sqref="C9:C26">
    <cfRule type="expression" dxfId="24" priority="3">
      <formula>AND($B9&lt;$D$8)</formula>
    </cfRule>
  </conditionalFormatting>
  <conditionalFormatting sqref="H10">
    <cfRule type="expression" dxfId="23" priority="1">
      <formula>AND(G10&gt;0.7)</formula>
    </cfRule>
    <cfRule type="expression" dxfId="22" priority="2">
      <formula>AND(G10&lt;0.5)</formula>
    </cfRule>
  </conditionalFormatting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B7:M26"/>
  <sheetViews>
    <sheetView showGridLines="0" showRowColHeaders="0" workbookViewId="0">
      <selection activeCell="F13" sqref="F13:K14"/>
    </sheetView>
  </sheetViews>
  <sheetFormatPr defaultRowHeight="14.4" x14ac:dyDescent="0.3"/>
  <cols>
    <col min="1" max="1" width="2.77734375" customWidth="1"/>
    <col min="2" max="2" width="3.77734375" customWidth="1"/>
    <col min="3" max="3" width="19.109375" style="1" customWidth="1"/>
    <col min="4" max="4" width="6" customWidth="1"/>
    <col min="5" max="5" width="10.88671875" customWidth="1"/>
    <col min="7" max="7" width="6.88671875" customWidth="1"/>
  </cols>
  <sheetData>
    <row r="7" spans="2:13" ht="10.8" customHeight="1" x14ac:dyDescent="0.3"/>
    <row r="8" spans="2:13" ht="28.8" customHeight="1" x14ac:dyDescent="0.3">
      <c r="D8" s="9">
        <v>4</v>
      </c>
      <c r="E8" s="10" t="s">
        <v>3</v>
      </c>
      <c r="F8" s="8"/>
      <c r="G8" s="8"/>
      <c r="H8" s="8"/>
      <c r="I8" s="8"/>
      <c r="J8" s="8"/>
      <c r="K8" s="8"/>
      <c r="L8" s="8"/>
      <c r="M8" s="8"/>
    </row>
    <row r="9" spans="2:13" ht="15.6" customHeight="1" x14ac:dyDescent="0.3">
      <c r="B9" s="3">
        <v>1</v>
      </c>
      <c r="C9" s="4" t="s">
        <v>0</v>
      </c>
    </row>
    <row r="10" spans="2:13" ht="15.6" customHeight="1" x14ac:dyDescent="0.3">
      <c r="B10" s="3">
        <v>2</v>
      </c>
      <c r="C10" s="4" t="s">
        <v>1</v>
      </c>
      <c r="G10" s="11"/>
      <c r="H10" s="15"/>
      <c r="I10" s="13"/>
      <c r="J10" s="14"/>
    </row>
    <row r="11" spans="2:13" ht="15.6" customHeight="1" x14ac:dyDescent="0.3">
      <c r="B11" s="3">
        <v>3</v>
      </c>
      <c r="C11" s="4" t="s">
        <v>2</v>
      </c>
    </row>
    <row r="12" spans="2:13" ht="15.6" customHeight="1" x14ac:dyDescent="0.3">
      <c r="B12" s="3">
        <v>4</v>
      </c>
      <c r="C12" s="4" t="s">
        <v>3</v>
      </c>
    </row>
    <row r="13" spans="2:13" ht="15.6" customHeight="1" x14ac:dyDescent="0.3">
      <c r="B13" s="3">
        <v>5</v>
      </c>
      <c r="C13" s="4" t="s">
        <v>4</v>
      </c>
      <c r="E13" s="16" t="s">
        <v>12</v>
      </c>
      <c r="F13" s="28"/>
      <c r="G13" s="29"/>
      <c r="H13" s="29"/>
      <c r="I13" s="29"/>
      <c r="J13" s="29"/>
      <c r="K13" s="30"/>
    </row>
    <row r="14" spans="2:13" ht="15.6" customHeight="1" x14ac:dyDescent="0.3">
      <c r="B14" s="3">
        <v>6</v>
      </c>
      <c r="C14" s="4" t="s">
        <v>5</v>
      </c>
      <c r="E14" s="16"/>
      <c r="F14" s="31"/>
      <c r="G14" s="32"/>
      <c r="H14" s="32"/>
      <c r="I14" s="32"/>
      <c r="J14" s="32"/>
      <c r="K14" s="33"/>
    </row>
    <row r="15" spans="2:13" ht="31.2" customHeight="1" x14ac:dyDescent="0.3">
      <c r="B15" s="3">
        <v>7</v>
      </c>
      <c r="C15" s="4" t="s">
        <v>6</v>
      </c>
      <c r="F15" t="s">
        <v>17</v>
      </c>
      <c r="H15">
        <f>exp_donors</f>
        <v>4</v>
      </c>
      <c r="I15" s="39" t="s">
        <v>21</v>
      </c>
    </row>
    <row r="16" spans="2:13" ht="15.6" customHeight="1" x14ac:dyDescent="0.3">
      <c r="B16" s="3">
        <v>8</v>
      </c>
      <c r="C16" s="4" t="s">
        <v>7</v>
      </c>
      <c r="F16" t="s">
        <v>18</v>
      </c>
      <c r="H16">
        <f>ROUNDUP(req_amount/avg_donations,0)</f>
        <v>0</v>
      </c>
      <c r="I16" s="39" t="s">
        <v>22</v>
      </c>
    </row>
    <row r="17" spans="2:3" ht="28.8" x14ac:dyDescent="0.3">
      <c r="B17" s="3">
        <v>9</v>
      </c>
      <c r="C17" s="4" t="s">
        <v>10</v>
      </c>
    </row>
    <row r="18" spans="2:3" ht="15.6" customHeight="1" x14ac:dyDescent="0.3">
      <c r="B18" s="3">
        <v>10</v>
      </c>
      <c r="C18" s="4" t="s">
        <v>8</v>
      </c>
    </row>
    <row r="19" spans="2:3" ht="15.6" customHeight="1" x14ac:dyDescent="0.3">
      <c r="B19" s="3"/>
      <c r="C19" s="4"/>
    </row>
    <row r="20" spans="2:3" x14ac:dyDescent="0.3">
      <c r="B20" s="5"/>
      <c r="C20" s="6"/>
    </row>
    <row r="21" spans="2:3" x14ac:dyDescent="0.3">
      <c r="B21" s="5"/>
      <c r="C21" s="6"/>
    </row>
    <row r="22" spans="2:3" x14ac:dyDescent="0.3">
      <c r="B22" s="5"/>
      <c r="C22" s="6"/>
    </row>
    <row r="23" spans="2:3" x14ac:dyDescent="0.3">
      <c r="B23" s="5"/>
      <c r="C23" s="6"/>
    </row>
    <row r="24" spans="2:3" x14ac:dyDescent="0.3">
      <c r="B24" s="5"/>
      <c r="C24" s="6"/>
    </row>
    <row r="25" spans="2:3" x14ac:dyDescent="0.3">
      <c r="B25" s="5"/>
      <c r="C25" s="6"/>
    </row>
    <row r="26" spans="2:3" x14ac:dyDescent="0.3">
      <c r="B26" s="5"/>
      <c r="C26" s="6"/>
    </row>
  </sheetData>
  <mergeCells count="2">
    <mergeCell ref="E13:E14"/>
    <mergeCell ref="F13:K14"/>
  </mergeCells>
  <conditionalFormatting sqref="B9:C26">
    <cfRule type="expression" dxfId="21" priority="4">
      <formula>AND($B9&lt;$D$8)</formula>
    </cfRule>
    <cfRule type="expression" dxfId="20" priority="5">
      <formula>AND($B9=$D$8)</formula>
    </cfRule>
  </conditionalFormatting>
  <conditionalFormatting sqref="C9:C26">
    <cfRule type="expression" dxfId="19" priority="3">
      <formula>AND($B9&lt;$D$8)</formula>
    </cfRule>
  </conditionalFormatting>
  <conditionalFormatting sqref="H10">
    <cfRule type="expression" dxfId="18" priority="1">
      <formula>AND(G10&gt;0.7)</formula>
    </cfRule>
    <cfRule type="expression" dxfId="17" priority="2">
      <formula>AND(G10&lt;0.5)</formula>
    </cfRule>
  </conditionalFormatting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B7:M26"/>
  <sheetViews>
    <sheetView showGridLines="0" showRowColHeaders="0" workbookViewId="0">
      <selection activeCell="E16" sqref="E16:L17"/>
    </sheetView>
  </sheetViews>
  <sheetFormatPr defaultRowHeight="14.4" x14ac:dyDescent="0.3"/>
  <cols>
    <col min="1" max="1" width="2.77734375" customWidth="1"/>
    <col min="2" max="2" width="3.77734375" customWidth="1"/>
    <col min="3" max="3" width="19.109375" style="1" customWidth="1"/>
    <col min="4" max="4" width="6" customWidth="1"/>
    <col min="5" max="5" width="10.88671875" customWidth="1"/>
    <col min="7" max="7" width="6.88671875" customWidth="1"/>
  </cols>
  <sheetData>
    <row r="7" spans="2:13" ht="10.8" customHeight="1" x14ac:dyDescent="0.3"/>
    <row r="8" spans="2:13" ht="28.8" customHeight="1" x14ac:dyDescent="0.3">
      <c r="D8" s="9">
        <v>5</v>
      </c>
      <c r="E8" s="10" t="s">
        <v>4</v>
      </c>
      <c r="F8" s="8"/>
      <c r="G8" s="8"/>
      <c r="H8" s="8"/>
      <c r="I8" s="8"/>
      <c r="J8" s="8"/>
      <c r="K8" s="8"/>
      <c r="L8" s="8"/>
      <c r="M8" s="8"/>
    </row>
    <row r="9" spans="2:13" ht="15.6" customHeight="1" x14ac:dyDescent="0.3">
      <c r="B9" s="3">
        <v>1</v>
      </c>
      <c r="C9" s="4" t="s">
        <v>0</v>
      </c>
    </row>
    <row r="10" spans="2:13" ht="15.6" customHeight="1" x14ac:dyDescent="0.3">
      <c r="B10" s="3">
        <v>2</v>
      </c>
      <c r="C10" s="4" t="s">
        <v>1</v>
      </c>
      <c r="E10" s="7" t="s">
        <v>9</v>
      </c>
      <c r="F10" s="7"/>
      <c r="G10" s="35">
        <v>0.4</v>
      </c>
      <c r="H10" s="15" t="str">
        <f>REPT("|",G10*235)</f>
        <v>||||||||||||||||||||||||||||||||||||||||||||||||||||||||||||||||||||||||||||||||||||||||||||||</v>
      </c>
      <c r="I10" s="13"/>
      <c r="J10" s="14"/>
      <c r="K10" s="34" t="s">
        <v>13</v>
      </c>
    </row>
    <row r="11" spans="2:13" ht="15.6" customHeight="1" x14ac:dyDescent="0.3">
      <c r="B11" s="3">
        <v>3</v>
      </c>
      <c r="C11" s="4" t="s">
        <v>2</v>
      </c>
    </row>
    <row r="12" spans="2:13" ht="15.6" customHeight="1" x14ac:dyDescent="0.3">
      <c r="B12" s="3">
        <v>4</v>
      </c>
      <c r="C12" s="4" t="s">
        <v>3</v>
      </c>
    </row>
    <row r="13" spans="2:13" ht="15.6" customHeight="1" x14ac:dyDescent="0.3">
      <c r="B13" s="3">
        <v>5</v>
      </c>
      <c r="C13" s="4" t="s">
        <v>4</v>
      </c>
      <c r="E13" s="16" t="s">
        <v>12</v>
      </c>
      <c r="F13" s="28">
        <v>0</v>
      </c>
      <c r="G13" s="29"/>
      <c r="H13" s="29"/>
      <c r="I13" s="29"/>
      <c r="J13" s="29"/>
      <c r="K13" s="30"/>
    </row>
    <row r="14" spans="2:13" ht="15.6" customHeight="1" x14ac:dyDescent="0.3">
      <c r="B14" s="3">
        <v>6</v>
      </c>
      <c r="C14" s="4" t="s">
        <v>5</v>
      </c>
      <c r="E14" s="16"/>
      <c r="F14" s="31"/>
      <c r="G14" s="32"/>
      <c r="H14" s="32"/>
      <c r="I14" s="32"/>
      <c r="J14" s="32"/>
      <c r="K14" s="33"/>
    </row>
    <row r="15" spans="2:13" ht="31.2" customHeight="1" x14ac:dyDescent="0.3">
      <c r="B15" s="3">
        <v>7</v>
      </c>
      <c r="C15" s="4" t="s">
        <v>6</v>
      </c>
    </row>
    <row r="16" spans="2:13" ht="15.6" customHeight="1" x14ac:dyDescent="0.3">
      <c r="B16" s="3">
        <v>8</v>
      </c>
      <c r="C16" s="4" t="s">
        <v>7</v>
      </c>
      <c r="E16" s="41"/>
      <c r="F16" s="42"/>
      <c r="G16" s="42"/>
      <c r="H16" s="42"/>
      <c r="I16" s="42"/>
      <c r="J16" s="42"/>
      <c r="K16" s="42"/>
      <c r="L16" s="43"/>
    </row>
    <row r="17" spans="2:12" ht="28.8" x14ac:dyDescent="0.3">
      <c r="B17" s="3">
        <v>9</v>
      </c>
      <c r="C17" s="4" t="s">
        <v>10</v>
      </c>
      <c r="E17" s="44"/>
      <c r="F17" s="45"/>
      <c r="G17" s="45"/>
      <c r="H17" s="45"/>
      <c r="I17" s="45"/>
      <c r="J17" s="45"/>
      <c r="K17" s="45"/>
      <c r="L17" s="46"/>
    </row>
    <row r="18" spans="2:12" ht="15.6" customHeight="1" x14ac:dyDescent="0.3">
      <c r="B18" s="3">
        <v>10</v>
      </c>
      <c r="C18" s="4" t="s">
        <v>8</v>
      </c>
    </row>
    <row r="19" spans="2:12" ht="15.6" customHeight="1" x14ac:dyDescent="0.3">
      <c r="B19" s="3"/>
      <c r="C19" s="4"/>
    </row>
    <row r="20" spans="2:12" x14ac:dyDescent="0.3">
      <c r="B20" s="5"/>
      <c r="C20" s="6"/>
    </row>
    <row r="21" spans="2:12" x14ac:dyDescent="0.3">
      <c r="B21" s="5"/>
      <c r="C21" s="6"/>
    </row>
    <row r="22" spans="2:12" x14ac:dyDescent="0.3">
      <c r="B22" s="5"/>
      <c r="C22" s="6"/>
    </row>
    <row r="23" spans="2:12" x14ac:dyDescent="0.3">
      <c r="B23" s="5"/>
      <c r="C23" s="6"/>
    </row>
    <row r="24" spans="2:12" x14ac:dyDescent="0.3">
      <c r="B24" s="5"/>
      <c r="C24" s="6"/>
    </row>
    <row r="25" spans="2:12" x14ac:dyDescent="0.3">
      <c r="B25" s="5"/>
      <c r="C25" s="6"/>
    </row>
    <row r="26" spans="2:12" x14ac:dyDescent="0.3">
      <c r="B26" s="5"/>
      <c r="C26" s="6"/>
    </row>
  </sheetData>
  <mergeCells count="3">
    <mergeCell ref="E13:E14"/>
    <mergeCell ref="F13:K14"/>
    <mergeCell ref="E16:L17"/>
  </mergeCells>
  <conditionalFormatting sqref="B9:C26">
    <cfRule type="expression" dxfId="16" priority="6">
      <formula>AND($B9&lt;$D$8)</formula>
    </cfRule>
    <cfRule type="expression" dxfId="15" priority="7">
      <formula>AND($B9=$D$8)</formula>
    </cfRule>
  </conditionalFormatting>
  <conditionalFormatting sqref="C9:C26">
    <cfRule type="expression" dxfId="14" priority="5">
      <formula>AND($B9&lt;$D$8)</formula>
    </cfRule>
  </conditionalFormatting>
  <conditionalFormatting sqref="H10">
    <cfRule type="expression" dxfId="13" priority="1">
      <formula>AND(G10&gt;0.7)</formula>
    </cfRule>
    <cfRule type="expression" dxfId="12" priority="2">
      <formula>AND(G10&lt;0.5)</formula>
    </cfRule>
  </conditionalFormatting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B7:M26"/>
  <sheetViews>
    <sheetView showGridLines="0" showRowColHeaders="0" workbookViewId="0">
      <selection activeCell="E20" sqref="E20:L21"/>
    </sheetView>
  </sheetViews>
  <sheetFormatPr defaultRowHeight="14.4" x14ac:dyDescent="0.3"/>
  <cols>
    <col min="1" max="1" width="2.77734375" customWidth="1"/>
    <col min="2" max="2" width="3.77734375" customWidth="1"/>
    <col min="3" max="3" width="19.109375" style="1" customWidth="1"/>
    <col min="4" max="4" width="6" customWidth="1"/>
    <col min="5" max="5" width="10.88671875" customWidth="1"/>
    <col min="7" max="7" width="6.88671875" customWidth="1"/>
  </cols>
  <sheetData>
    <row r="7" spans="2:13" ht="10.8" customHeight="1" x14ac:dyDescent="0.3"/>
    <row r="8" spans="2:13" ht="28.8" customHeight="1" x14ac:dyDescent="0.3">
      <c r="D8" s="9">
        <v>6</v>
      </c>
      <c r="E8" s="10" t="s">
        <v>5</v>
      </c>
      <c r="F8" s="8"/>
      <c r="G8" s="8"/>
      <c r="H8" s="8"/>
      <c r="I8" s="8"/>
      <c r="J8" s="8"/>
      <c r="K8" s="8"/>
      <c r="L8" s="8"/>
      <c r="M8" s="8"/>
    </row>
    <row r="9" spans="2:13" ht="15.6" customHeight="1" x14ac:dyDescent="0.3">
      <c r="B9" s="3">
        <v>1</v>
      </c>
      <c r="C9" s="4" t="s">
        <v>0</v>
      </c>
    </row>
    <row r="10" spans="2:13" ht="15.6" customHeight="1" x14ac:dyDescent="0.3">
      <c r="B10" s="3">
        <v>2</v>
      </c>
      <c r="C10" s="4" t="s">
        <v>1</v>
      </c>
      <c r="E10" s="7" t="s">
        <v>9</v>
      </c>
      <c r="F10" s="7"/>
      <c r="G10" s="35">
        <f>MIN(0.4+SUM(Table1[Score])*0.4,0.8)</f>
        <v>0.4</v>
      </c>
      <c r="H10" s="15" t="str">
        <f>REPT("|",G10*235)</f>
        <v>||||||||||||||||||||||||||||||||||||||||||||||||||||||||||||||||||||||||||||||||||||||||||||||</v>
      </c>
      <c r="I10" s="13"/>
      <c r="J10" s="14"/>
      <c r="K10" s="34" t="s">
        <v>13</v>
      </c>
    </row>
    <row r="11" spans="2:13" ht="15.6" customHeight="1" x14ac:dyDescent="0.3">
      <c r="B11" s="3">
        <v>3</v>
      </c>
      <c r="C11" s="4" t="s">
        <v>2</v>
      </c>
    </row>
    <row r="12" spans="2:13" ht="15.6" customHeight="1" x14ac:dyDescent="0.3">
      <c r="B12" s="3">
        <v>4</v>
      </c>
      <c r="C12" s="4" t="s">
        <v>3</v>
      </c>
      <c r="E12" s="7" t="s">
        <v>14</v>
      </c>
    </row>
    <row r="13" spans="2:13" ht="15.6" customHeight="1" x14ac:dyDescent="0.3">
      <c r="B13" s="3">
        <v>5</v>
      </c>
      <c r="C13" s="4" t="s">
        <v>4</v>
      </c>
      <c r="E13" s="12" t="s">
        <v>15</v>
      </c>
      <c r="F13" s="38"/>
      <c r="G13" s="34" t="s">
        <v>16</v>
      </c>
      <c r="H13" s="38"/>
      <c r="I13" s="38"/>
      <c r="J13" s="38"/>
      <c r="K13" s="38"/>
    </row>
    <row r="14" spans="2:13" ht="15.6" customHeight="1" x14ac:dyDescent="0.3">
      <c r="B14" s="3">
        <v>6</v>
      </c>
      <c r="C14" s="4" t="s">
        <v>5</v>
      </c>
      <c r="F14" s="38"/>
      <c r="G14" s="38"/>
      <c r="H14" s="38"/>
      <c r="I14" s="38"/>
      <c r="J14" s="38"/>
      <c r="K14" s="38"/>
    </row>
    <row r="15" spans="2:13" ht="31.2" customHeight="1" x14ac:dyDescent="0.3">
      <c r="B15" s="3">
        <v>7</v>
      </c>
      <c r="C15" s="4" t="s">
        <v>6</v>
      </c>
      <c r="E15" s="41"/>
      <c r="F15" s="42"/>
      <c r="G15" s="42"/>
      <c r="H15" s="42"/>
      <c r="I15" s="42"/>
      <c r="J15" s="42"/>
      <c r="K15" s="42"/>
      <c r="L15" s="43"/>
    </row>
    <row r="16" spans="2:13" ht="15.6" customHeight="1" x14ac:dyDescent="0.3">
      <c r="B16" s="3">
        <v>8</v>
      </c>
      <c r="C16" s="4" t="s">
        <v>7</v>
      </c>
      <c r="E16" s="44"/>
      <c r="F16" s="45"/>
      <c r="G16" s="45"/>
      <c r="H16" s="45"/>
      <c r="I16" s="45"/>
      <c r="J16" s="45"/>
      <c r="K16" s="45"/>
      <c r="L16" s="46"/>
    </row>
    <row r="17" spans="2:12" ht="28.8" x14ac:dyDescent="0.3">
      <c r="B17" s="3">
        <v>9</v>
      </c>
      <c r="C17" s="4" t="s">
        <v>10</v>
      </c>
      <c r="E17" s="2" t="s">
        <v>27</v>
      </c>
      <c r="F17" s="2"/>
      <c r="G17" s="2" t="str">
        <f ca="1">IFERROR(OFFSET(Table1[[#Headers],[Suggest]],MATCH(1,Table1[story_challenge],0),0),"")</f>
        <v/>
      </c>
      <c r="H17" s="2"/>
      <c r="I17" s="2"/>
      <c r="J17" s="2"/>
      <c r="K17" s="2"/>
      <c r="L17" s="2"/>
    </row>
    <row r="18" spans="2:12" ht="15.6" customHeight="1" x14ac:dyDescent="0.3">
      <c r="B18" s="3">
        <v>10</v>
      </c>
      <c r="C18" s="4" t="s">
        <v>8</v>
      </c>
      <c r="E18" s="7" t="s">
        <v>31</v>
      </c>
    </row>
    <row r="19" spans="2:12" ht="15.6" customHeight="1" x14ac:dyDescent="0.3">
      <c r="B19" s="3"/>
      <c r="C19" s="4"/>
    </row>
    <row r="20" spans="2:12" x14ac:dyDescent="0.3">
      <c r="B20" s="5"/>
      <c r="C20" s="6"/>
      <c r="E20" s="41"/>
      <c r="F20" s="42"/>
      <c r="G20" s="42"/>
      <c r="H20" s="42"/>
      <c r="I20" s="42"/>
      <c r="J20" s="42"/>
      <c r="K20" s="42"/>
      <c r="L20" s="43"/>
    </row>
    <row r="21" spans="2:12" ht="31.2" customHeight="1" x14ac:dyDescent="0.3">
      <c r="B21" s="5"/>
      <c r="C21" s="6"/>
      <c r="E21" s="44"/>
      <c r="F21" s="45"/>
      <c r="G21" s="45"/>
      <c r="H21" s="45"/>
      <c r="I21" s="45"/>
      <c r="J21" s="45"/>
      <c r="K21" s="45"/>
      <c r="L21" s="46"/>
    </row>
    <row r="22" spans="2:12" x14ac:dyDescent="0.3">
      <c r="B22" s="5"/>
      <c r="C22" s="6"/>
      <c r="E22" t="s">
        <v>27</v>
      </c>
      <c r="G22" t="str">
        <f ca="1">IFERROR(OFFSET(Table1[[#Headers],[Suggest]],MATCH(1,Table1[story_students],0),0),"")</f>
        <v/>
      </c>
    </row>
    <row r="23" spans="2:12" x14ac:dyDescent="0.3">
      <c r="B23" s="5"/>
      <c r="C23" s="6"/>
    </row>
    <row r="24" spans="2:12" x14ac:dyDescent="0.3">
      <c r="B24" s="5"/>
      <c r="C24" s="6"/>
    </row>
    <row r="25" spans="2:12" x14ac:dyDescent="0.3">
      <c r="B25" s="5"/>
      <c r="C25" s="6"/>
    </row>
    <row r="26" spans="2:12" x14ac:dyDescent="0.3">
      <c r="B26" s="5"/>
      <c r="C26" s="6"/>
    </row>
  </sheetData>
  <mergeCells count="2">
    <mergeCell ref="E15:L16"/>
    <mergeCell ref="E20:L21"/>
  </mergeCells>
  <conditionalFormatting sqref="B9:C26">
    <cfRule type="expression" dxfId="11" priority="4">
      <formula>AND($B9&lt;$D$8)</formula>
    </cfRule>
    <cfRule type="expression" dxfId="10" priority="5">
      <formula>AND($B9=$D$8)</formula>
    </cfRule>
  </conditionalFormatting>
  <conditionalFormatting sqref="C9:C26">
    <cfRule type="expression" dxfId="9" priority="3">
      <formula>AND($B9&lt;$D$8)</formula>
    </cfRule>
  </conditionalFormatting>
  <conditionalFormatting sqref="H10">
    <cfRule type="expression" dxfId="8" priority="1">
      <formula>AND(G10&gt;0.7)</formula>
    </cfRule>
    <cfRule type="expression" dxfId="7" priority="2">
      <formula>AND(G10&lt;0.5)</formula>
    </cfRule>
  </conditionalFormatting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B7:M26"/>
  <sheetViews>
    <sheetView showGridLines="0" showRowColHeaders="0" workbookViewId="0">
      <selection activeCell="P16" sqref="P16"/>
    </sheetView>
  </sheetViews>
  <sheetFormatPr defaultRowHeight="14.4" x14ac:dyDescent="0.3"/>
  <cols>
    <col min="1" max="1" width="2.77734375" customWidth="1"/>
    <col min="2" max="2" width="3.77734375" customWidth="1"/>
    <col min="3" max="3" width="19.109375" style="1" customWidth="1"/>
    <col min="4" max="4" width="6" customWidth="1"/>
    <col min="5" max="5" width="10.88671875" customWidth="1"/>
    <col min="7" max="7" width="6.88671875" customWidth="1"/>
  </cols>
  <sheetData>
    <row r="7" spans="2:13" ht="10.8" customHeight="1" x14ac:dyDescent="0.3"/>
    <row r="8" spans="2:13" ht="28.8" customHeight="1" x14ac:dyDescent="0.3">
      <c r="D8" s="9">
        <v>7</v>
      </c>
      <c r="E8" s="10" t="s">
        <v>6</v>
      </c>
      <c r="F8" s="8"/>
      <c r="G8" s="8"/>
      <c r="H8" s="8"/>
      <c r="I8" s="8"/>
      <c r="J8" s="8"/>
      <c r="K8" s="8"/>
      <c r="L8" s="8"/>
      <c r="M8" s="8"/>
    </row>
    <row r="9" spans="2:13" ht="15.6" customHeight="1" x14ac:dyDescent="0.3">
      <c r="B9" s="3">
        <v>1</v>
      </c>
      <c r="C9" s="4" t="s">
        <v>0</v>
      </c>
    </row>
    <row r="10" spans="2:13" ht="15.6" customHeight="1" x14ac:dyDescent="0.3">
      <c r="B10" s="3">
        <v>2</v>
      </c>
      <c r="C10" s="4" t="s">
        <v>1</v>
      </c>
      <c r="E10" s="7" t="s">
        <v>9</v>
      </c>
      <c r="F10" s="7"/>
      <c r="G10" s="35">
        <f>step6_success</f>
        <v>0.4</v>
      </c>
      <c r="H10" s="15" t="str">
        <f>REPT("|",G10*235)</f>
        <v>||||||||||||||||||||||||||||||||||||||||||||||||||||||||||||||||||||||||||||||||||||||||||||||</v>
      </c>
      <c r="I10" s="13"/>
      <c r="J10" s="14"/>
      <c r="K10" s="34" t="s">
        <v>13</v>
      </c>
    </row>
    <row r="11" spans="2:13" ht="15.6" customHeight="1" x14ac:dyDescent="0.3">
      <c r="B11" s="3">
        <v>3</v>
      </c>
      <c r="C11" s="4" t="s">
        <v>2</v>
      </c>
    </row>
    <row r="12" spans="2:13" ht="15.6" customHeight="1" x14ac:dyDescent="0.3">
      <c r="B12" s="3">
        <v>4</v>
      </c>
      <c r="C12" s="4" t="s">
        <v>3</v>
      </c>
    </row>
    <row r="13" spans="2:13" ht="15.6" customHeight="1" x14ac:dyDescent="0.3">
      <c r="B13" s="3">
        <v>5</v>
      </c>
      <c r="C13" s="4" t="s">
        <v>4</v>
      </c>
      <c r="E13" s="36"/>
      <c r="F13" s="37"/>
      <c r="G13" s="37"/>
      <c r="H13" s="37"/>
      <c r="I13" s="37"/>
      <c r="J13" s="37"/>
      <c r="K13" s="37"/>
      <c r="L13" s="23"/>
    </row>
    <row r="14" spans="2:13" ht="15.6" customHeight="1" x14ac:dyDescent="0.3">
      <c r="B14" s="3">
        <v>6</v>
      </c>
      <c r="C14" s="4" t="s">
        <v>5</v>
      </c>
      <c r="E14" s="36"/>
      <c r="F14" s="37"/>
      <c r="G14" s="37"/>
      <c r="H14" s="37"/>
      <c r="I14" s="37"/>
      <c r="J14" s="37"/>
      <c r="K14" s="37"/>
      <c r="L14" s="23"/>
    </row>
    <row r="15" spans="2:13" ht="31.2" customHeight="1" x14ac:dyDescent="0.3">
      <c r="B15" s="3">
        <v>7</v>
      </c>
      <c r="C15" s="4" t="s">
        <v>6</v>
      </c>
      <c r="E15" s="23"/>
      <c r="F15" s="23"/>
      <c r="G15" s="23"/>
      <c r="H15" s="23"/>
      <c r="I15" s="23"/>
      <c r="J15" s="23"/>
      <c r="K15" s="23"/>
      <c r="L15" s="23"/>
    </row>
    <row r="16" spans="2:13" ht="15.6" customHeight="1" x14ac:dyDescent="0.3">
      <c r="B16" s="3">
        <v>8</v>
      </c>
      <c r="C16" s="4" t="s">
        <v>7</v>
      </c>
      <c r="E16" s="47"/>
      <c r="F16" s="47"/>
      <c r="G16" s="47"/>
      <c r="H16" s="47"/>
      <c r="I16" s="47"/>
      <c r="J16" s="47"/>
      <c r="K16" s="47"/>
      <c r="L16" s="47"/>
    </row>
    <row r="17" spans="2:12" ht="28.8" x14ac:dyDescent="0.3">
      <c r="B17" s="3">
        <v>9</v>
      </c>
      <c r="C17" s="4" t="s">
        <v>10</v>
      </c>
      <c r="E17" s="47"/>
      <c r="F17" s="47"/>
      <c r="G17" s="47"/>
      <c r="H17" s="47"/>
      <c r="I17" s="47"/>
      <c r="J17" s="47"/>
      <c r="K17" s="47"/>
      <c r="L17" s="47"/>
    </row>
    <row r="18" spans="2:12" ht="15.6" customHeight="1" x14ac:dyDescent="0.3">
      <c r="B18" s="3">
        <v>10</v>
      </c>
      <c r="C18" s="4" t="s">
        <v>8</v>
      </c>
      <c r="E18" s="23"/>
      <c r="F18" s="23"/>
      <c r="G18" s="23"/>
      <c r="H18" s="23"/>
      <c r="I18" s="23"/>
      <c r="J18" s="23"/>
      <c r="K18" s="23"/>
      <c r="L18" s="23"/>
    </row>
    <row r="19" spans="2:12" ht="15.6" customHeight="1" x14ac:dyDescent="0.3">
      <c r="B19" s="3"/>
      <c r="C19" s="4"/>
    </row>
    <row r="20" spans="2:12" x14ac:dyDescent="0.3">
      <c r="B20" s="5"/>
      <c r="C20" s="6"/>
    </row>
    <row r="21" spans="2:12" x14ac:dyDescent="0.3">
      <c r="B21" s="5"/>
      <c r="C21" s="6"/>
    </row>
    <row r="22" spans="2:12" x14ac:dyDescent="0.3">
      <c r="B22" s="5"/>
      <c r="C22" s="6"/>
    </row>
    <row r="23" spans="2:12" x14ac:dyDescent="0.3">
      <c r="B23" s="5"/>
      <c r="C23" s="6"/>
    </row>
    <row r="24" spans="2:12" x14ac:dyDescent="0.3">
      <c r="B24" s="5"/>
      <c r="C24" s="6"/>
    </row>
    <row r="25" spans="2:12" x14ac:dyDescent="0.3">
      <c r="B25" s="5"/>
      <c r="C25" s="6"/>
    </row>
    <row r="26" spans="2:12" x14ac:dyDescent="0.3">
      <c r="B26" s="5"/>
      <c r="C26" s="6"/>
    </row>
  </sheetData>
  <mergeCells count="3">
    <mergeCell ref="E13:E14"/>
    <mergeCell ref="F13:K14"/>
    <mergeCell ref="E16:L17"/>
  </mergeCells>
  <conditionalFormatting sqref="B9:C26">
    <cfRule type="expression" dxfId="6" priority="4">
      <formula>AND($B9&lt;$D$8)</formula>
    </cfRule>
    <cfRule type="expression" dxfId="5" priority="5">
      <formula>AND($B9=$D$8)</formula>
    </cfRule>
  </conditionalFormatting>
  <conditionalFormatting sqref="C9:C26">
    <cfRule type="expression" dxfId="4" priority="3">
      <formula>AND($B9&lt;$D$8)</formula>
    </cfRule>
  </conditionalFormatting>
  <conditionalFormatting sqref="H10">
    <cfRule type="expression" dxfId="3" priority="1">
      <formula>AND(G10&gt;0.7)</formula>
    </cfRule>
    <cfRule type="expression" dxfId="2" priority="2">
      <formula>AND(G10&lt;0.5)</formula>
    </cfRule>
  </conditionalFormatting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I17"/>
  <sheetViews>
    <sheetView showGridLines="0" workbookViewId="0">
      <selection activeCell="C9" sqref="C9"/>
    </sheetView>
  </sheetViews>
  <sheetFormatPr defaultRowHeight="14.4" x14ac:dyDescent="0.3"/>
  <cols>
    <col min="1" max="1" width="2.77734375" customWidth="1"/>
    <col min="2" max="2" width="12.6640625" bestFit="1" customWidth="1"/>
    <col min="3" max="3" width="15.109375" customWidth="1"/>
    <col min="4" max="4" width="16.109375" customWidth="1"/>
    <col min="5" max="8" width="10.44140625" customWidth="1"/>
    <col min="9" max="9" width="26" customWidth="1"/>
  </cols>
  <sheetData>
    <row r="2" spans="2:9" x14ac:dyDescent="0.3">
      <c r="B2" t="s">
        <v>19</v>
      </c>
      <c r="C2">
        <v>75</v>
      </c>
    </row>
    <row r="3" spans="2:9" x14ac:dyDescent="0.3">
      <c r="B3" t="s">
        <v>20</v>
      </c>
      <c r="C3">
        <v>4</v>
      </c>
    </row>
    <row r="5" spans="2:9" x14ac:dyDescent="0.3">
      <c r="B5" t="s">
        <v>23</v>
      </c>
    </row>
    <row r="6" spans="2:9" x14ac:dyDescent="0.3">
      <c r="C6" t="s">
        <v>28</v>
      </c>
      <c r="D6" t="s">
        <v>30</v>
      </c>
      <c r="E6" t="s">
        <v>32</v>
      </c>
      <c r="F6" t="s">
        <v>41</v>
      </c>
      <c r="G6" t="s">
        <v>40</v>
      </c>
      <c r="H6" t="s">
        <v>42</v>
      </c>
      <c r="I6" t="s">
        <v>29</v>
      </c>
    </row>
    <row r="7" spans="2:9" x14ac:dyDescent="0.3">
      <c r="C7" t="s">
        <v>24</v>
      </c>
      <c r="D7">
        <f>MIN(IFERROR(SEARCH($C7,story_challenge,1),0),1)</f>
        <v>0</v>
      </c>
      <c r="E7">
        <f>MIN(IFERROR(SEARCH($C7,story_students,1),0),1)</f>
        <v>0</v>
      </c>
      <c r="G7">
        <v>0</v>
      </c>
      <c r="H7">
        <f>SUM(D7:F7)*G7/SUM(Table1[IsRec])</f>
        <v>0</v>
      </c>
      <c r="I7" t="s">
        <v>44</v>
      </c>
    </row>
    <row r="8" spans="2:9" x14ac:dyDescent="0.3">
      <c r="C8" t="s">
        <v>25</v>
      </c>
      <c r="D8">
        <f>MIN(IFERROR(SEARCH($C8,story_challenge,1),0),1)</f>
        <v>0</v>
      </c>
      <c r="E8">
        <f>MIN(IFERROR(SEARCH($C8,story_students,1),0),1)</f>
        <v>0</v>
      </c>
      <c r="G8">
        <v>0</v>
      </c>
      <c r="H8">
        <f>SUM(D8:F8)*G8/SUM(Table1[IsRec])</f>
        <v>0</v>
      </c>
      <c r="I8" t="s">
        <v>26</v>
      </c>
    </row>
    <row r="9" spans="2:9" x14ac:dyDescent="0.3">
      <c r="C9" t="s">
        <v>46</v>
      </c>
      <c r="D9">
        <f>MIN(IFERROR(SEARCH($C9,story_challenge,1),0),1)</f>
        <v>0</v>
      </c>
      <c r="E9" s="40">
        <f>MIN(IFERROR(SEARCH($C9,story_students,1),0),1)</f>
        <v>0</v>
      </c>
      <c r="G9">
        <v>0</v>
      </c>
      <c r="H9">
        <f>SUM(D9:F9)*G9/SUM(Table1[IsRec])</f>
        <v>0</v>
      </c>
      <c r="I9" t="s">
        <v>33</v>
      </c>
    </row>
    <row r="10" spans="2:9" x14ac:dyDescent="0.3">
      <c r="C10" t="s">
        <v>34</v>
      </c>
      <c r="D10" s="40">
        <f>MIN(IFERROR(SEARCH($C10,story_challenge,1),0),1)</f>
        <v>0</v>
      </c>
      <c r="E10" s="40">
        <f>MIN(IFERROR(SEARCH($C10,story_students,1),0),1)</f>
        <v>0</v>
      </c>
      <c r="G10">
        <v>1</v>
      </c>
      <c r="H10">
        <f>SUM(D10:F10)*G10/SUM(Table1[IsRec])</f>
        <v>0</v>
      </c>
    </row>
    <row r="11" spans="2:9" x14ac:dyDescent="0.3">
      <c r="C11" t="s">
        <v>35</v>
      </c>
      <c r="D11" s="40">
        <f>MIN(IFERROR(SEARCH($C11,story_challenge,1),0),1)</f>
        <v>0</v>
      </c>
      <c r="E11" s="40">
        <f>MIN(IFERROR(SEARCH($C11,story_students,1),0),1)</f>
        <v>0</v>
      </c>
      <c r="G11">
        <v>1</v>
      </c>
      <c r="H11">
        <f>SUM(D11:F11)*G11/SUM(Table1[IsRec])</f>
        <v>0</v>
      </c>
    </row>
    <row r="12" spans="2:9" x14ac:dyDescent="0.3">
      <c r="C12" t="s">
        <v>45</v>
      </c>
      <c r="D12" s="40">
        <f>MIN(IFERROR(SEARCH($C12,story_challenge,1),0),1)</f>
        <v>0</v>
      </c>
      <c r="E12" s="40">
        <f>MIN(IFERROR(SEARCH($C12,story_students,1),0),1)</f>
        <v>0</v>
      </c>
      <c r="G12">
        <v>1</v>
      </c>
      <c r="H12">
        <f>SUM(D12:F12)*G12/SUM(Table1[IsRec])</f>
        <v>0</v>
      </c>
    </row>
    <row r="13" spans="2:9" x14ac:dyDescent="0.3">
      <c r="C13" t="s">
        <v>36</v>
      </c>
      <c r="D13" s="40">
        <f>MIN(IFERROR(SEARCH($C13,story_challenge,1),0),1)</f>
        <v>0</v>
      </c>
      <c r="E13" s="40">
        <f>MIN(IFERROR(SEARCH($C13,story_students,1),0),1)</f>
        <v>0</v>
      </c>
      <c r="G13">
        <v>1</v>
      </c>
      <c r="H13">
        <f>SUM(D13:F13)*G13/SUM(Table1[IsRec])</f>
        <v>0</v>
      </c>
    </row>
    <row r="14" spans="2:9" x14ac:dyDescent="0.3">
      <c r="C14" t="s">
        <v>37</v>
      </c>
      <c r="D14" s="40">
        <f>MIN(IFERROR(SEARCH($C14,story_challenge,1),0),1)</f>
        <v>0</v>
      </c>
      <c r="E14" s="40">
        <f>MIN(IFERROR(SEARCH($C14,story_students,1),0),1)</f>
        <v>0</v>
      </c>
      <c r="G14">
        <v>1</v>
      </c>
      <c r="H14">
        <f>SUM(D14:F14)*G14/SUM(Table1[IsRec])</f>
        <v>0</v>
      </c>
    </row>
    <row r="15" spans="2:9" x14ac:dyDescent="0.3">
      <c r="C15" t="s">
        <v>38</v>
      </c>
      <c r="D15" s="40">
        <f>MIN(IFERROR(SEARCH($C15,story_challenge,1),0),1)</f>
        <v>0</v>
      </c>
      <c r="E15" s="40">
        <f>MIN(IFERROR(SEARCH($C15,story_students,1),0),1)</f>
        <v>0</v>
      </c>
      <c r="G15">
        <v>1</v>
      </c>
      <c r="H15">
        <f>SUM(D15:F15)*G15/SUM(Table1[IsRec])</f>
        <v>0</v>
      </c>
    </row>
    <row r="16" spans="2:9" x14ac:dyDescent="0.3">
      <c r="C16" t="s">
        <v>39</v>
      </c>
      <c r="D16" s="40">
        <f>MIN(IFERROR(SEARCH($C16,story_challenge,1),0),1)</f>
        <v>0</v>
      </c>
      <c r="E16" s="40">
        <f>MIN(IFERROR(SEARCH($C16,story_students,1),0),1)</f>
        <v>0</v>
      </c>
      <c r="G16">
        <v>1</v>
      </c>
      <c r="H16">
        <f>SUM(D16:F16)*G16/SUM(Table1[IsRec])</f>
        <v>0</v>
      </c>
    </row>
    <row r="17" spans="3:8" x14ac:dyDescent="0.3">
      <c r="C17" t="s">
        <v>43</v>
      </c>
      <c r="D17" s="40">
        <f>MIN(IFERROR(SEARCH($C17,story_challenge,1),0),1)</f>
        <v>0</v>
      </c>
      <c r="E17" s="40">
        <f>MIN(IFERROR(SEARCH($C17,story_students,1),0),1)</f>
        <v>0</v>
      </c>
      <c r="G17">
        <v>1</v>
      </c>
      <c r="H17" s="40">
        <f>SUM(D17:F17)*G17/SUM(Table1[IsRec])</f>
        <v>0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6</vt:i4>
      </vt:variant>
    </vt:vector>
  </HeadingPairs>
  <TitlesOfParts>
    <vt:vector size="14" baseType="lpstr">
      <vt:lpstr>Step 1</vt:lpstr>
      <vt:lpstr>Step 2</vt:lpstr>
      <vt:lpstr>Step 3</vt:lpstr>
      <vt:lpstr>Step 4</vt:lpstr>
      <vt:lpstr>Step 5</vt:lpstr>
      <vt:lpstr>Step 6</vt:lpstr>
      <vt:lpstr>Step 7</vt:lpstr>
      <vt:lpstr>Lookups</vt:lpstr>
      <vt:lpstr>avg_donations</vt:lpstr>
      <vt:lpstr>exp_donors</vt:lpstr>
      <vt:lpstr>req_amount</vt:lpstr>
      <vt:lpstr>step6_success</vt:lpstr>
      <vt:lpstr>story_challenge</vt:lpstr>
      <vt:lpstr>story_students</vt:lpstr>
    </vt:vector>
  </TitlesOfParts>
  <Company>Sapient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Basil Hayek</dc:creator>
  <cp:lastModifiedBy>Basil Hayek</cp:lastModifiedBy>
  <dcterms:created xsi:type="dcterms:W3CDTF">2014-05-08T14:12:46Z</dcterms:created>
  <dcterms:modified xsi:type="dcterms:W3CDTF">2015-04-26T01:13:10Z</dcterms:modified>
</cp:coreProperties>
</file>